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B4FBFD11-86F8-4CA7-BED7-EA96F78EA3B5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E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B6" i="1" l="1"/>
  <c r="F23" i="1" s="1"/>
  <c r="F22" i="1" l="1"/>
  <c r="F18" i="1"/>
  <c r="F17" i="1"/>
  <c r="F16" i="1"/>
  <c r="F15" i="1" l="1"/>
</calcChain>
</file>

<file path=xl/sharedStrings.xml><?xml version="1.0" encoding="utf-8"?>
<sst xmlns="http://schemas.openxmlformats.org/spreadsheetml/2006/main" count="64" uniqueCount="47">
  <si>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</si>
  <si>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</si>
  <si>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</si>
  <si>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</si>
  <si>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</si>
  <si>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</si>
  <si>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</si>
  <si>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</si>
  <si>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</si>
  <si>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</si>
  <si>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</si>
  <si>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</si>
  <si>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</si>
  <si>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</si>
  <si>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</si>
  <si>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</si>
  <si>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</si>
  <si>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</si>
  <si>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</si>
  <si>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</si>
  <si>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</si>
  <si>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</si>
  <si>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</si>
  <si>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</si>
  <si>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</si>
  <si>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</si>
  <si>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</si>
  <si>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</si>
  <si>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</si>
  <si>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</si>
  <si>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</si>
  <si>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</si>
  <si>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</si>
  <si>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</si>
  <si>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</si>
  <si>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Concrete Wall Element</t>
  </si>
  <si>
    <t>CWE_RU_01 - Life Cycle Inventory</t>
  </si>
  <si>
    <t>Transportation of residual</t>
  </si>
  <si>
    <t>Avoided concrete element</t>
  </si>
  <si>
    <t>Concrete slab {RoW}| market for concrete slab | Cut-off, S</t>
  </si>
  <si>
    <t>Crushing of residual</t>
  </si>
  <si>
    <t>m³</t>
  </si>
  <si>
    <t>Reuse</t>
  </si>
  <si>
    <t>1 m³ concrete wall element is extracted from the building using diesel-driven machinery. Assumed diesel use of 1.4 L/t material based on a report from the Danish Environmental Protection Agency (2022) [1]. The concrete wall element is transported 100 km by truck to a facility in Denmark where the element is reused. Assumed 80% of concrete wall element is reusable based on a Gothenburg case covered in a report from Danish Technical Institute (2025) [2]. The remaining 20% is transported another 100 km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</si>
  <si>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EcoInvent database version: 3.12
Impact assessment method: ReCiPe2016 Midpoint (H)
Mass factor determined from BR18, appendix 2, table 7 ID #B1441, with 60 kg reinforcement steel per m³.
Diesel density assumed to be 0.845 kg/L with an energy density of 42.7 MJ/kg.
[1] Miljøstyrelsen (2022): https://www2.mst.dk/Udgiv/publikationer/2022/02/978-87-7038-353-0.pdf
[2] Danish Technological Institute (2025) (pp. 58): https://www.teknologisk.dk/_/images/tools/PRECAST_Rapport9_2025-10-20_v1.0.pdf</t>
  </si>
  <si>
    <t>Fossil Resource Scarcity 
[kg oil eq]</t>
  </si>
  <si>
    <t>Mineral Resource Scarcity 
[kg CU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</si>
</sst>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3" borderId="10" xfId="0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8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36</v>
      </c>
      <c r="B1" s="2"/>
      <c r="C1" s="20" t="s">
        <v>34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5" t="s">
        <v>35</v>
      </c>
      <c r="C3" s="46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f>2267+60</f>
        <v>2327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7" t="s">
        <v>42</v>
      </c>
      <c r="C8" s="4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0.75" customHeight="1" thickBot="1" x14ac:dyDescent="0.3">
      <c r="A11" s="36" t="s">
        <v>43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7" t="s">
        <v>3</v>
      </c>
      <c r="B14" s="51" t="s">
        <v>17</v>
      </c>
      <c r="C14" s="51"/>
      <c r="D14" s="51"/>
      <c r="E14" s="51"/>
      <c r="F14" s="8" t="s">
        <v>8</v>
      </c>
      <c r="G14" s="9" t="s">
        <v>1</v>
      </c>
    </row>
    <row r="15" spans="1:7" ht="32.25" customHeight="1" x14ac:dyDescent="0.25">
      <c r="A15" s="10" t="s">
        <v>18</v>
      </c>
      <c r="B15" s="53" t="s">
        <v>19</v>
      </c>
      <c r="C15" s="53"/>
      <c r="D15" s="53"/>
      <c r="E15" s="53"/>
      <c r="F15" s="23">
        <f>B6*1.4/1000*0.845*42.7</f>
        <v>117.54631069999999</v>
      </c>
      <c r="G15" s="11" t="s">
        <v>20</v>
      </c>
    </row>
    <row r="16" spans="1:7" ht="45" customHeight="1" x14ac:dyDescent="0.25">
      <c r="A16" s="18" t="s">
        <v>9</v>
      </c>
      <c r="B16" s="52" t="s">
        <v>16</v>
      </c>
      <c r="C16" s="52"/>
      <c r="D16" s="52"/>
      <c r="E16" s="52"/>
      <c r="F16" s="22">
        <f>B6*100/1000</f>
        <v>232.7</v>
      </c>
      <c r="G16" s="19" t="s">
        <v>21</v>
      </c>
    </row>
    <row r="17" spans="1:7" ht="45" customHeight="1" x14ac:dyDescent="0.25">
      <c r="A17" s="28" t="s">
        <v>37</v>
      </c>
      <c r="B17" s="52" t="s">
        <v>16</v>
      </c>
      <c r="C17" s="52"/>
      <c r="D17" s="52"/>
      <c r="E17" s="52"/>
      <c r="F17" s="27">
        <f>B6*0.2*100/1000</f>
        <v>46.54</v>
      </c>
      <c r="G17" s="19" t="s">
        <v>21</v>
      </c>
    </row>
    <row r="18" spans="1:7" x14ac:dyDescent="0.25">
      <c r="A18" s="24" t="s">
        <v>40</v>
      </c>
      <c r="B18" s="33" t="s">
        <v>24</v>
      </c>
      <c r="C18" s="33"/>
      <c r="D18" s="33"/>
      <c r="E18" s="33"/>
      <c r="F18" s="25">
        <f>B6*0.2</f>
        <v>465.40000000000003</v>
      </c>
      <c r="G18" s="26" t="s">
        <v>10</v>
      </c>
    </row>
    <row r="19" spans="1:7" ht="45" customHeight="1" x14ac:dyDescent="0.25">
      <c r="A19" s="28" t="s">
        <v>31</v>
      </c>
      <c r="B19" s="52" t="s">
        <v>27</v>
      </c>
      <c r="C19" s="52"/>
      <c r="D19" s="52"/>
      <c r="E19" s="52"/>
      <c r="F19" s="27">
        <f>60*0.2*1000/1000</f>
        <v>12</v>
      </c>
      <c r="G19" s="19" t="s">
        <v>21</v>
      </c>
    </row>
    <row r="20" spans="1:7" ht="46.5" customHeight="1" x14ac:dyDescent="0.25">
      <c r="A20" s="29" t="s">
        <v>32</v>
      </c>
      <c r="B20" s="33" t="s">
        <v>28</v>
      </c>
      <c r="C20" s="33"/>
      <c r="D20" s="33"/>
      <c r="E20" s="33"/>
      <c r="F20" s="30">
        <f>60*0.2</f>
        <v>12</v>
      </c>
      <c r="G20" s="26" t="s">
        <v>10</v>
      </c>
    </row>
    <row r="21" spans="1:7" ht="30.75" customHeight="1" x14ac:dyDescent="0.25">
      <c r="A21" s="24" t="s">
        <v>29</v>
      </c>
      <c r="B21" s="33" t="s">
        <v>30</v>
      </c>
      <c r="C21" s="33"/>
      <c r="D21" s="33"/>
      <c r="E21" s="33"/>
      <c r="F21" s="30">
        <f>-60*0.2</f>
        <v>-12</v>
      </c>
      <c r="G21" s="26" t="s">
        <v>10</v>
      </c>
    </row>
    <row r="22" spans="1:7" ht="32.25" customHeight="1" x14ac:dyDescent="0.25">
      <c r="A22" s="24" t="s">
        <v>25</v>
      </c>
      <c r="B22" s="33" t="s">
        <v>26</v>
      </c>
      <c r="C22" s="33"/>
      <c r="D22" s="33"/>
      <c r="E22" s="33"/>
      <c r="F22" s="25">
        <f>-(B6-60)*0.2</f>
        <v>-453.40000000000003</v>
      </c>
      <c r="G22" s="26" t="s">
        <v>10</v>
      </c>
    </row>
    <row r="23" spans="1:7" ht="32.25" customHeight="1" thickBot="1" x14ac:dyDescent="0.3">
      <c r="A23" s="31" t="s">
        <v>38</v>
      </c>
      <c r="B23" s="54" t="s">
        <v>39</v>
      </c>
      <c r="C23" s="54"/>
      <c r="D23" s="54"/>
      <c r="E23" s="54"/>
      <c r="F23" s="32">
        <f>-B6*0.8/2438</f>
        <v>-0.76357670221493035</v>
      </c>
      <c r="G23" s="12" t="s">
        <v>41</v>
      </c>
    </row>
    <row r="24" spans="1:7" ht="65.2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36</v>
      </c>
      <c r="B25" s="2"/>
      <c r="C25" s="20" t="s">
        <v>33</v>
      </c>
      <c r="D25" s="2"/>
      <c r="E25" s="2"/>
      <c r="F25" s="2"/>
      <c r="G25" s="3">
        <v>46191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7" t="s">
        <v>3</v>
      </c>
      <c r="B28" s="13" t="s">
        <v>14</v>
      </c>
      <c r="C28" s="13" t="s">
        <v>13</v>
      </c>
      <c r="D28" s="49" t="s">
        <v>46</v>
      </c>
      <c r="E28" s="49"/>
      <c r="F28" s="49" t="s">
        <v>45</v>
      </c>
      <c r="G28" s="50"/>
    </row>
    <row r="29" spans="1:7" x14ac:dyDescent="0.25">
      <c r="A29" s="10" t="s">
        <v>18</v>
      </c>
      <c r="B29" s="15">
        <v>12.1</v>
      </c>
      <c r="C29" s="15">
        <v>8.5099999999999995E-2</v>
      </c>
      <c r="D29" s="40">
        <v>1.95E-2</v>
      </c>
      <c r="E29" s="40"/>
      <c r="F29" s="40">
        <v>3.56</v>
      </c>
      <c r="G29" s="41"/>
    </row>
    <row r="30" spans="1:7" x14ac:dyDescent="0.25">
      <c r="A30" s="18" t="s">
        <v>9</v>
      </c>
      <c r="B30" s="14">
        <v>44.5</v>
      </c>
      <c r="C30" s="14">
        <v>1.98</v>
      </c>
      <c r="D30" s="34">
        <v>0.11700000000000001</v>
      </c>
      <c r="E30" s="34"/>
      <c r="F30" s="34">
        <v>14</v>
      </c>
      <c r="G30" s="35"/>
    </row>
    <row r="31" spans="1:7" ht="30" x14ac:dyDescent="0.25">
      <c r="A31" s="28" t="s">
        <v>37</v>
      </c>
      <c r="B31" s="14">
        <v>8.89</v>
      </c>
      <c r="C31" s="14">
        <v>0.39500000000000002</v>
      </c>
      <c r="D31" s="34">
        <v>2.3400000000000001E-2</v>
      </c>
      <c r="E31" s="34"/>
      <c r="F31" s="34">
        <v>2.8</v>
      </c>
      <c r="G31" s="35"/>
    </row>
    <row r="32" spans="1:7" x14ac:dyDescent="0.25">
      <c r="A32" s="24" t="s">
        <v>40</v>
      </c>
      <c r="B32" s="14">
        <v>0.125</v>
      </c>
      <c r="C32" s="14">
        <v>3.7699999999999999E-3</v>
      </c>
      <c r="D32" s="34">
        <v>3.9800000000000002E-4</v>
      </c>
      <c r="E32" s="34"/>
      <c r="F32" s="34">
        <v>3.4200000000000001E-2</v>
      </c>
      <c r="G32" s="35"/>
    </row>
    <row r="33" spans="1:7" ht="30" x14ac:dyDescent="0.25">
      <c r="A33" s="28" t="s">
        <v>31</v>
      </c>
      <c r="B33" s="14">
        <v>1.25</v>
      </c>
      <c r="C33" s="14">
        <v>9.5600000000000004E-2</v>
      </c>
      <c r="D33" s="34">
        <v>3.16E-3</v>
      </c>
      <c r="E33" s="34"/>
      <c r="F33" s="34">
        <v>0.42199999999999999</v>
      </c>
      <c r="G33" s="35"/>
    </row>
    <row r="34" spans="1:7" ht="30" x14ac:dyDescent="0.25">
      <c r="A34" s="29" t="s">
        <v>32</v>
      </c>
      <c r="B34" s="14">
        <v>9.06</v>
      </c>
      <c r="C34" s="14">
        <v>0.193</v>
      </c>
      <c r="D34" s="34">
        <v>2.3800000000000002E-2</v>
      </c>
      <c r="E34" s="34"/>
      <c r="F34" s="34">
        <v>2.96</v>
      </c>
      <c r="G34" s="35"/>
    </row>
    <row r="35" spans="1:7" x14ac:dyDescent="0.25">
      <c r="A35" s="24" t="s">
        <v>29</v>
      </c>
      <c r="B35" s="14">
        <v>-22.5</v>
      </c>
      <c r="C35" s="14">
        <v>-0.47399999999999998</v>
      </c>
      <c r="D35" s="34">
        <v>-0.77800000000000002</v>
      </c>
      <c r="E35" s="34"/>
      <c r="F35" s="34">
        <v>-5.0599999999999996</v>
      </c>
      <c r="G35" s="35"/>
    </row>
    <row r="36" spans="1:7" x14ac:dyDescent="0.25">
      <c r="A36" s="24" t="s">
        <v>25</v>
      </c>
      <c r="B36" s="14">
        <v>-8.4499999999999993</v>
      </c>
      <c r="C36" s="14">
        <v>-1.03</v>
      </c>
      <c r="D36" s="34">
        <v>-3.8300000000000001E-2</v>
      </c>
      <c r="E36" s="34"/>
      <c r="F36" s="34">
        <v>-2.36</v>
      </c>
      <c r="G36" s="35"/>
    </row>
    <row r="37" spans="1:7" ht="30.75" thickBot="1" x14ac:dyDescent="0.3">
      <c r="A37" s="31" t="s">
        <v>38</v>
      </c>
      <c r="B37" s="16">
        <v>-747</v>
      </c>
      <c r="C37" s="16">
        <v>-22.1</v>
      </c>
      <c r="D37" s="43">
        <v>-6.25</v>
      </c>
      <c r="E37" s="43"/>
      <c r="F37" s="43">
        <v>-167</v>
      </c>
      <c r="G37" s="44"/>
    </row>
    <row r="38" spans="1:7" ht="15.75" thickBot="1" x14ac:dyDescent="0.3">
      <c r="A38" s="7" t="s">
        <v>15</v>
      </c>
      <c r="B38" s="17">
        <v>-702</v>
      </c>
      <c r="C38" s="17">
        <v>-20.8</v>
      </c>
      <c r="D38" s="39">
        <v>-6.88</v>
      </c>
      <c r="E38" s="39"/>
      <c r="F38" s="39">
        <v>-150</v>
      </c>
      <c r="G38" s="42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26" customHeight="1" thickBot="1" x14ac:dyDescent="0.3">
      <c r="A41" s="36" t="s">
        <v>44</v>
      </c>
      <c r="B41" s="37"/>
      <c r="C41" s="37"/>
      <c r="D41" s="37"/>
      <c r="E41" s="37"/>
      <c r="F41" s="37"/>
      <c r="G41" s="38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</sheetData>
  <mergeCells count="36">
    <mergeCell ref="B3:C3"/>
    <mergeCell ref="B8:C8"/>
    <mergeCell ref="D28:E28"/>
    <mergeCell ref="F28:G28"/>
    <mergeCell ref="A11:G11"/>
    <mergeCell ref="B14:E14"/>
    <mergeCell ref="B16:E16"/>
    <mergeCell ref="B15:E15"/>
    <mergeCell ref="B18:E18"/>
    <mergeCell ref="B23:E23"/>
    <mergeCell ref="B19:E19"/>
    <mergeCell ref="B20:E20"/>
    <mergeCell ref="B21:E21"/>
    <mergeCell ref="B17:E17"/>
    <mergeCell ref="D35:E35"/>
    <mergeCell ref="F35:G35"/>
    <mergeCell ref="D37:E37"/>
    <mergeCell ref="F37:G37"/>
    <mergeCell ref="D31:E31"/>
    <mergeCell ref="F31:G31"/>
    <mergeCell ref="B22:E22"/>
    <mergeCell ref="D33:E33"/>
    <mergeCell ref="F33:G33"/>
    <mergeCell ref="A41:G41"/>
    <mergeCell ref="D36:E36"/>
    <mergeCell ref="D38:E38"/>
    <mergeCell ref="F29:G29"/>
    <mergeCell ref="F30:G30"/>
    <mergeCell ref="F36:G36"/>
    <mergeCell ref="F38:G38"/>
    <mergeCell ref="D29:E29"/>
    <mergeCell ref="D30:E30"/>
    <mergeCell ref="F32:G32"/>
    <mergeCell ref="D32:E32"/>
    <mergeCell ref="D34:E34"/>
    <mergeCell ref="F34:G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2026-08-06T16:28:03Z</dcterms:modified>
</cp:coreProperties>
</file>