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0424F57-DC4F-4EB9-B0C3-DEE33833586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<sst xmlns="http://schemas.openxmlformats.org/spreadsheetml/2006/main" count="38" uniqueCount="33">
  <si>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</si>
  <si>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</si>
  <si>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</si>
  <si>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</si>
  <si>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</si>
  <si>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</si>
  <si>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</si>
  <si>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</si>
  <si>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</si>
  <si>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</si>
  <si>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</si>
  <si>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</si>
  <si>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</si>
  <si>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</si>
  <si>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</si>
  <si>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</si>
  <si>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</si>
  <si>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</si>
  <si>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</si>
  <si>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</si>
  <si>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1 m³</t>
  </si>
  <si>
    <t>Diesel, burned in building machine {GLO}| market for diesel, burned in building machine | Cut-off, S</t>
  </si>
  <si>
    <t>MJ</t>
  </si>
  <si>
    <t>tkm</t>
  </si>
  <si>
    <t>kg/m³</t>
  </si>
  <si>
    <t>Waste mineral wool, for final disposal {Europe without Switzerland}| treatment of waste mineral wool, inert material landfill | Cut-off, S</t>
  </si>
  <si>
    <t>SW_LF_01 - Life Cycle Inventory</t>
  </si>
  <si>
    <t>Stone Wool</t>
  </si>
  <si>
    <t>1 m³ of stone wool is extracted from the building using diesel-driven machinery. Assumed diesel use of 1.4 L/t material based on a report from the Danish Environmental Protection Agency [1]. The stone wool is transported 50 km by truck to a municipal landfill site.</t>
  </si>
  <si>
    <t>Page 1 of 1</t>
  </si>
  <si>
    <t>EcoInvent database version: 3.12
Impact assessment method: ReCiPe2016 Midpoint (H)
Mass factor determined from BR18, appendix 2, table 7 ID #D1540, rounded to 3 significant figures.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</si>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</sst>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26" t="s">
        <v>29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36.5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18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28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39" t="s">
        <v>21</v>
      </c>
      <c r="C15" s="39"/>
      <c r="D15" s="39"/>
      <c r="E15" s="39"/>
      <c r="F15" s="24">
        <f>B6*1.4/1000*0.845*42.7</f>
        <v>1.84376465</v>
      </c>
      <c r="G15" s="13" t="s">
        <v>22</v>
      </c>
    </row>
    <row r="16" spans="1:7" ht="45" customHeight="1" x14ac:dyDescent="0.25">
      <c r="A16" s="21" t="s">
        <v>9</v>
      </c>
      <c r="B16" s="37" t="s">
        <v>16</v>
      </c>
      <c r="C16" s="37"/>
      <c r="D16" s="37"/>
      <c r="E16" s="37"/>
      <c r="F16" s="25">
        <f>B6*50/1000</f>
        <v>1.825</v>
      </c>
      <c r="G16" s="22" t="s">
        <v>23</v>
      </c>
    </row>
    <row r="17" spans="1:7" ht="45.75" customHeight="1" thickBot="1" x14ac:dyDescent="0.3">
      <c r="A17" s="8" t="s">
        <v>18</v>
      </c>
      <c r="B17" s="38" t="s">
        <v>25</v>
      </c>
      <c r="C17" s="38"/>
      <c r="D17" s="38"/>
      <c r="E17" s="38"/>
      <c r="F17" s="14">
        <f>B6</f>
        <v>36.5</v>
      </c>
      <c r="G17" s="15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14</v>
      </c>
      <c r="C20" s="16" t="s">
        <v>13</v>
      </c>
      <c r="D20" s="29" t="s">
        <v>31</v>
      </c>
      <c r="E20" s="29"/>
      <c r="F20" s="29" t="s">
        <v>32</v>
      </c>
      <c r="G20" s="30"/>
    </row>
    <row r="21" spans="1:7" x14ac:dyDescent="0.25">
      <c r="A21" s="12" t="s">
        <v>19</v>
      </c>
      <c r="B21" s="18">
        <v>0.189</v>
      </c>
      <c r="C21" s="18">
        <v>1.33E-3</v>
      </c>
      <c r="D21" s="31">
        <v>3.0400000000000002E-4</v>
      </c>
      <c r="E21" s="31"/>
      <c r="F21" s="31">
        <v>5.5399999999999998E-2</v>
      </c>
      <c r="G21" s="42"/>
    </row>
    <row r="22" spans="1:7" x14ac:dyDescent="0.25">
      <c r="A22" s="21" t="s">
        <v>9</v>
      </c>
      <c r="B22" s="17">
        <v>0.35</v>
      </c>
      <c r="C22" s="17">
        <v>1.5599999999999999E-2</v>
      </c>
      <c r="D22" s="32">
        <v>9.2299999999999999E-4</v>
      </c>
      <c r="E22" s="32"/>
      <c r="F22" s="32">
        <v>0.11</v>
      </c>
      <c r="G22" s="43"/>
    </row>
    <row r="23" spans="1:7" ht="15.75" thickBot="1" x14ac:dyDescent="0.3">
      <c r="A23" s="8" t="s">
        <v>18</v>
      </c>
      <c r="B23" s="19">
        <v>0.23699999999999999</v>
      </c>
      <c r="C23" s="19">
        <v>-1.2999999999999999E-2</v>
      </c>
      <c r="D23" s="40">
        <v>4.9399999999999997E-4</v>
      </c>
      <c r="E23" s="40"/>
      <c r="F23" s="40">
        <v>0.129</v>
      </c>
      <c r="G23" s="44"/>
    </row>
    <row r="24" spans="1:7" ht="15.75" thickBot="1" x14ac:dyDescent="0.3">
      <c r="A24" s="9" t="s">
        <v>15</v>
      </c>
      <c r="B24" s="20">
        <v>0.77500000000000002</v>
      </c>
      <c r="C24" s="20">
        <v>3.8700000000000002E-3</v>
      </c>
      <c r="D24" s="41">
        <v>1.72E-3</v>
      </c>
      <c r="E24" s="41"/>
      <c r="F24" s="41">
        <v>0.29399999999999998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00.5" customHeight="1" thickBot="1" x14ac:dyDescent="0.3">
      <c r="A27" s="33" t="s">
        <v>30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2026-08-06T16:37:28Z</dcterms:modified>
</cp:coreProperties>
</file>