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F64C3556-22D1-47F5-8A42-0F87190D07A5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RT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F17" i="1"/>
  <c r="F16" i="1"/>
  <c r="F15" i="1" l="1"/>
</calcChain>
</file>

<file path=xl/sharedStrings.xml><?xml version="1.0" encoding="utf-8"?>
<sst xmlns="http://schemas.openxmlformats.org/spreadsheetml/2006/main" count="48" uniqueCount="37">
  <si>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</si>
  <si>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</si>
  <si>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</si>
  <si>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</si>
  <si>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</si>
  <si>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</si>
  <si>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</si>
  <si>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</si>
  <si>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</si>
  <si>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</si>
  <si>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</si>
  <si>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</si>
  <si>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</si>
  <si>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</si>
  <si>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</si>
  <si>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</si>
  <si>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</si>
  <si>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</si>
  <si>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1 m²</t>
  </si>
  <si>
    <t>kg/m²</t>
  </si>
  <si>
    <t>tkm</t>
  </si>
  <si>
    <t>Rock crushing {RER}| rock crushing | Cut-off, S</t>
  </si>
  <si>
    <t>Avoided gravel</t>
  </si>
  <si>
    <t>Gravel, crushed {RoW}| market for gravel, crushed | Cut-off, S</t>
  </si>
  <si>
    <t>Transportation of residual</t>
  </si>
  <si>
    <t>Crushing of residual</t>
  </si>
  <si>
    <t>RT_RU_01 - Life Cycle Inventory</t>
  </si>
  <si>
    <t>1 m² of roof tiles is extracted from the building by hand. The roof tiles are transported 100 km by truck to a facility in Denmark where whole roof tiles are reused. Assumed 65% of roof tiles are reusable based on 50-80% estimate by Center for Bygningsbevaring (2012) [1]. The remaining roof tiles are transported another 100 km by truck to a facility in Denmark where it is crushed into rubble, which replaces gravel in road fill.
.</t>
  </si>
  <si>
    <t>Reuse</t>
  </si>
  <si>
    <t>Roof Tiles</t>
  </si>
  <si>
    <t>Avoided roof tiles</t>
  </si>
  <si>
    <t>Clay roof tile {RoW}| market for clay roof tile | Cut-off, S</t>
  </si>
  <si>
    <t>Mineral Resource Scarcity 
[kg CU eq]</t>
  </si>
  <si>
    <t>Fossil Resource Scarcity 
[kg oil eq]</t>
  </si>
  <si>
    <t>EcoInvent database version: 3.12
Impact assessment method: ReCiPe2016 Midpoint (H)
Mass factor determined from BR18, appendix 2, table 7 ID #D1497.
[1] Center for Bygningsbevaring (2012): https://www.bygningsbevaring.dk/uploads/files/anvisninger/19-ANVISN_Tegltage_genoplaegning.pdf</t>
  </si>
  <si>
    <t>Page 2 of 2</t>
  </si>
  <si>
    <t>Page 1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</si>
</sst>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2" xfId="0" applyFill="1" applyBorder="1" applyAlignment="1">
      <alignment vertical="center" wrapText="1"/>
    </xf>
    <xf numFmtId="164" fontId="0" fillId="3" borderId="0" xfId="0" applyNumberFormat="1" applyFill="1" applyAlignment="1">
      <alignment horizontal="center"/>
    </xf>
    <xf numFmtId="2" fontId="0" fillId="3" borderId="13" xfId="0" applyNumberFormat="1" applyFill="1" applyBorder="1" applyAlignment="1">
      <alignment vertical="center"/>
    </xf>
    <xf numFmtId="164" fontId="0" fillId="3" borderId="10" xfId="0" applyNumberFormat="1" applyFill="1" applyBorder="1" applyAlignment="1">
      <alignment vertic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5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1"/>
  <sheetViews>
    <sheetView tabSelected="1" view="pageLayout" zoomScaleNormal="100" workbookViewId="0"/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26</v>
      </c>
      <c r="B1" s="2"/>
      <c r="C1" s="19" t="s">
        <v>36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29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18</v>
      </c>
      <c r="C5" s="4"/>
      <c r="D5" s="4"/>
      <c r="E5" s="4"/>
      <c r="F5" s="4"/>
      <c r="G5" s="4"/>
    </row>
    <row r="6" spans="1:7" x14ac:dyDescent="0.25">
      <c r="A6" s="5" t="s">
        <v>2</v>
      </c>
      <c r="B6" s="24">
        <v>52.5</v>
      </c>
      <c r="C6" s="4" t="s">
        <v>19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6" t="s">
        <v>28</v>
      </c>
      <c r="C8" s="37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8" customHeight="1" thickBot="1" x14ac:dyDescent="0.3">
      <c r="A11" s="27" t="s">
        <v>27</v>
      </c>
      <c r="B11" s="28"/>
      <c r="C11" s="28"/>
      <c r="D11" s="28"/>
      <c r="E11" s="28"/>
      <c r="F11" s="28"/>
      <c r="G11" s="29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0" t="s">
        <v>17</v>
      </c>
      <c r="C14" s="40"/>
      <c r="D14" s="40"/>
      <c r="E14" s="40"/>
      <c r="F14" s="10" t="s">
        <v>8</v>
      </c>
      <c r="G14" s="11" t="s">
        <v>1</v>
      </c>
    </row>
    <row r="15" spans="1:7" ht="45" customHeight="1" x14ac:dyDescent="0.25">
      <c r="A15" s="17" t="s">
        <v>9</v>
      </c>
      <c r="B15" s="41" t="s">
        <v>16</v>
      </c>
      <c r="C15" s="41"/>
      <c r="D15" s="41"/>
      <c r="E15" s="41"/>
      <c r="F15" s="25">
        <f>B6*100/1000</f>
        <v>5.25</v>
      </c>
      <c r="G15" s="18" t="s">
        <v>20</v>
      </c>
    </row>
    <row r="16" spans="1:7" ht="45" customHeight="1" x14ac:dyDescent="0.25">
      <c r="A16" s="23" t="s">
        <v>24</v>
      </c>
      <c r="B16" s="41" t="s">
        <v>16</v>
      </c>
      <c r="C16" s="41"/>
      <c r="D16" s="41"/>
      <c r="E16" s="41"/>
      <c r="F16" s="25">
        <f>B6*0.35*100/1000</f>
        <v>1.8374999999999999</v>
      </c>
      <c r="G16" s="18" t="s">
        <v>20</v>
      </c>
    </row>
    <row r="17" spans="1:7" x14ac:dyDescent="0.25">
      <c r="A17" s="20" t="s">
        <v>25</v>
      </c>
      <c r="B17" s="43" t="s">
        <v>21</v>
      </c>
      <c r="C17" s="43"/>
      <c r="D17" s="43"/>
      <c r="E17" s="43"/>
      <c r="F17" s="26">
        <f>B6*0.35</f>
        <v>18.375</v>
      </c>
      <c r="G17" s="21" t="s">
        <v>10</v>
      </c>
    </row>
    <row r="18" spans="1:7" ht="32.25" customHeight="1" x14ac:dyDescent="0.25">
      <c r="A18" s="20" t="s">
        <v>22</v>
      </c>
      <c r="B18" s="43" t="s">
        <v>23</v>
      </c>
      <c r="C18" s="43"/>
      <c r="D18" s="43"/>
      <c r="E18" s="43"/>
      <c r="F18" s="26">
        <f>-B6*0.35</f>
        <v>-18.375</v>
      </c>
      <c r="G18" s="21" t="s">
        <v>10</v>
      </c>
    </row>
    <row r="19" spans="1:7" ht="15.75" thickBot="1" x14ac:dyDescent="0.3">
      <c r="A19" s="8" t="s">
        <v>30</v>
      </c>
      <c r="B19" s="42" t="s">
        <v>31</v>
      </c>
      <c r="C19" s="42"/>
      <c r="D19" s="42"/>
      <c r="E19" s="42"/>
      <c r="F19" s="22">
        <f>B6*0.65</f>
        <v>34.125</v>
      </c>
      <c r="G19" s="12" t="s">
        <v>10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3" t="s">
        <v>14</v>
      </c>
      <c r="C22" s="13" t="s">
        <v>13</v>
      </c>
      <c r="D22" s="38" t="s">
        <v>32</v>
      </c>
      <c r="E22" s="38"/>
      <c r="F22" s="38" t="s">
        <v>33</v>
      </c>
      <c r="G22" s="39"/>
    </row>
    <row r="23" spans="1:7" x14ac:dyDescent="0.25">
      <c r="A23" s="17" t="s">
        <v>9</v>
      </c>
      <c r="B23" s="15">
        <v>1</v>
      </c>
      <c r="C23" s="15">
        <v>4.4600000000000001E-2</v>
      </c>
      <c r="D23" s="31">
        <v>2.65E-3</v>
      </c>
      <c r="E23" s="31"/>
      <c r="F23" s="31">
        <v>0.316</v>
      </c>
      <c r="G23" s="32"/>
    </row>
    <row r="24" spans="1:7" ht="30" x14ac:dyDescent="0.25">
      <c r="A24" s="23" t="s">
        <v>24</v>
      </c>
      <c r="B24" s="14">
        <v>0.371</v>
      </c>
      <c r="C24" s="14">
        <v>1.6299999999999999E-2</v>
      </c>
      <c r="D24" s="33">
        <v>9.8999999999999999E-4</v>
      </c>
      <c r="E24" s="33"/>
      <c r="F24" s="33">
        <v>0.115</v>
      </c>
      <c r="G24" s="34"/>
    </row>
    <row r="25" spans="1:7" x14ac:dyDescent="0.25">
      <c r="A25" s="20" t="s">
        <v>25</v>
      </c>
      <c r="B25" s="14">
        <v>0.371</v>
      </c>
      <c r="C25" s="14">
        <v>1.4899999999999999E-4</v>
      </c>
      <c r="D25" s="33">
        <v>1.5699999999999999E-5</v>
      </c>
      <c r="E25" s="33"/>
      <c r="F25" s="33">
        <v>1.3600000000000001E-3</v>
      </c>
      <c r="G25" s="34"/>
    </row>
    <row r="26" spans="1:7" x14ac:dyDescent="0.25">
      <c r="A26" s="20" t="s">
        <v>22</v>
      </c>
      <c r="B26" s="14">
        <v>-0.34300000000000003</v>
      </c>
      <c r="C26" s="14">
        <v>-4.1799999999999997E-2</v>
      </c>
      <c r="D26" s="33">
        <v>-1.56E-3</v>
      </c>
      <c r="E26" s="33"/>
      <c r="F26" s="33">
        <v>-9.5899999999999999E-2</v>
      </c>
      <c r="G26" s="34"/>
    </row>
    <row r="27" spans="1:7" ht="15.75" thickBot="1" x14ac:dyDescent="0.3">
      <c r="A27" s="8" t="s">
        <v>30</v>
      </c>
      <c r="B27" s="14">
        <v>-15.8</v>
      </c>
      <c r="C27" s="14">
        <v>-0.34300000000000003</v>
      </c>
      <c r="D27" s="33">
        <v>-0.50800000000000001</v>
      </c>
      <c r="E27" s="33"/>
      <c r="F27" s="33">
        <v>-3.52</v>
      </c>
      <c r="G27" s="34"/>
    </row>
    <row r="28" spans="1:7" ht="15.75" thickBot="1" x14ac:dyDescent="0.3">
      <c r="A28" s="9" t="s">
        <v>15</v>
      </c>
      <c r="B28" s="16">
        <v>-14.8</v>
      </c>
      <c r="C28" s="16">
        <v>-0.32400000000000001</v>
      </c>
      <c r="D28" s="30">
        <v>-0.50600000000000001</v>
      </c>
      <c r="E28" s="30"/>
      <c r="F28" s="30">
        <v>-3.18</v>
      </c>
      <c r="G28" s="35"/>
    </row>
    <row r="29" spans="1:7" ht="93.75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26</v>
      </c>
      <c r="B30" s="2"/>
      <c r="C30" s="19" t="s">
        <v>35</v>
      </c>
      <c r="D30" s="2"/>
      <c r="E30" s="2"/>
      <c r="F30" s="2"/>
      <c r="G30" s="3">
        <v>46191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93" customHeight="1" thickBot="1" x14ac:dyDescent="0.3">
      <c r="A33" s="27" t="s">
        <v>34</v>
      </c>
      <c r="B33" s="28"/>
      <c r="C33" s="28"/>
      <c r="D33" s="28"/>
      <c r="E33" s="28"/>
      <c r="F33" s="28"/>
      <c r="G33" s="29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</sheetData>
  <mergeCells count="23">
    <mergeCell ref="B8:C8"/>
    <mergeCell ref="D22:E22"/>
    <mergeCell ref="F22:G22"/>
    <mergeCell ref="D23:E23"/>
    <mergeCell ref="D24:E24"/>
    <mergeCell ref="A11:G11"/>
    <mergeCell ref="B14:E14"/>
    <mergeCell ref="B15:E15"/>
    <mergeCell ref="B19:E19"/>
    <mergeCell ref="B17:E17"/>
    <mergeCell ref="B16:E16"/>
    <mergeCell ref="B18:E18"/>
    <mergeCell ref="A33:G33"/>
    <mergeCell ref="D28:E28"/>
    <mergeCell ref="F23:G23"/>
    <mergeCell ref="F24:G24"/>
    <mergeCell ref="F28:G28"/>
    <mergeCell ref="D25:E25"/>
    <mergeCell ref="F25:G25"/>
    <mergeCell ref="D26:E26"/>
    <mergeCell ref="F26:G26"/>
    <mergeCell ref="D27:E27"/>
    <mergeCell ref="F27:G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2026-08-06T16:33:58Z</dcterms:modified>
</cp:coreProperties>
</file>