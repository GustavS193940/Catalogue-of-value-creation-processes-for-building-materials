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27FF509-D695-43DE-AB24-FD46B1081DB6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F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<sst xmlns="http://schemas.openxmlformats.org/spreadsheetml/2006/main" count="38" uniqueCount="33">
  <si>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</si>
  <si>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</si>
  <si>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</si>
  <si>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</si>
  <si>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</si>
  <si>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</si>
  <si>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</si>
  <si>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RF_RC_01 - Life Cycle Inventory</t>
  </si>
  <si>
    <t>Roofing Felt</t>
  </si>
  <si>
    <t>1 m²</t>
  </si>
  <si>
    <t>Recycling (New Roofing Felt)</t>
  </si>
  <si>
    <t>Scenario description</t>
  </si>
  <si>
    <t>Amount</t>
  </si>
  <si>
    <t>Transportation</t>
  </si>
  <si>
    <t>Transport, freight, lorry, &gt;32 metric ton, diesel, EURO 6 {RER}| market for transport, freight, lorry, &gt;32 metric ton, diesel, EURO 6 | Cut-off, S</t>
  </si>
  <si>
    <t>Crushing</t>
  </si>
  <si>
    <t>Rock crushing {RER}| rock crushing | Cut-off, S</t>
  </si>
  <si>
    <t>Pitch {Europe without Switzerland}| market for pitch | Cut-off, S</t>
  </si>
  <si>
    <t>tkm</t>
  </si>
  <si>
    <t>kg</t>
  </si>
  <si>
    <t>1 m² of double-layered roofing felt is extracted from the building by hand. The roofing felt is transported 1000 km by truck to a facility in Europe where it is crushed into granulate, which replaces virgin bitumen in the production of new roofing felt.</t>
  </si>
  <si>
    <t>Avoided virgin bitumen</t>
  </si>
  <si>
    <t>Process contribution</t>
  </si>
  <si>
    <t>Comments</t>
  </si>
  <si>
    <t>kg/m²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</si>
  <si>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</si>
  <si>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</si>
  <si>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</si>
  <si>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</si>
  <si>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Page 1 of 1</t>
  </si>
  <si>
    <t>EcoInvent database version: 3.12
Impact assessment method: ReCiPe2016 Midpoint (H)
Mass factor determined from BR18, appendix 2, table 7 ID #D1501, rounded to 3 significant figures.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</si>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</sst>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11" fontId="0" fillId="3" borderId="15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16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7</v>
      </c>
      <c r="B1" s="2"/>
      <c r="C1" s="26" t="s">
        <v>29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9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10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11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20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10" t="s">
        <v>3</v>
      </c>
      <c r="B14" s="36" t="s">
        <v>28</v>
      </c>
      <c r="C14" s="36"/>
      <c r="D14" s="36"/>
      <c r="E14" s="36"/>
      <c r="F14" s="11" t="s">
        <v>12</v>
      </c>
      <c r="G14" s="12" t="s">
        <v>1</v>
      </c>
    </row>
    <row r="15" spans="1:7" ht="45" customHeight="1" x14ac:dyDescent="0.25">
      <c r="A15" s="13" t="s">
        <v>13</v>
      </c>
      <c r="B15" s="37" t="s">
        <v>14</v>
      </c>
      <c r="C15" s="37"/>
      <c r="D15" s="37"/>
      <c r="E15" s="37"/>
      <c r="F15" s="15">
        <f>B6*1000/1000</f>
        <v>12.8</v>
      </c>
      <c r="G15" s="16" t="s">
        <v>18</v>
      </c>
    </row>
    <row r="16" spans="1:7" x14ac:dyDescent="0.25">
      <c r="A16" s="14" t="s">
        <v>15</v>
      </c>
      <c r="B16" s="38" t="s">
        <v>16</v>
      </c>
      <c r="C16" s="38"/>
      <c r="D16" s="38"/>
      <c r="E16" s="38"/>
      <c r="F16" s="17">
        <f>B6</f>
        <v>12.8</v>
      </c>
      <c r="G16" s="18" t="s">
        <v>19</v>
      </c>
    </row>
    <row r="17" spans="1:7" ht="30.75" customHeight="1" thickBot="1" x14ac:dyDescent="0.3">
      <c r="A17" s="9" t="s">
        <v>21</v>
      </c>
      <c r="B17" s="39" t="s">
        <v>17</v>
      </c>
      <c r="C17" s="39"/>
      <c r="D17" s="39"/>
      <c r="E17" s="39"/>
      <c r="F17" s="19">
        <f>-B6</f>
        <v>-12.8</v>
      </c>
      <c r="G17" s="20" t="s">
        <v>19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22</v>
      </c>
      <c r="B19" s="4"/>
      <c r="C19" s="4"/>
      <c r="D19" s="4"/>
      <c r="E19" s="4"/>
      <c r="F19" s="4"/>
      <c r="G19" s="4"/>
    </row>
    <row r="20" spans="1:7" ht="47.25" thickBot="1" x14ac:dyDescent="0.4">
      <c r="A20" s="10" t="s">
        <v>3</v>
      </c>
      <c r="B20" s="21" t="s">
        <v>26</v>
      </c>
      <c r="C20" s="21" t="s">
        <v>25</v>
      </c>
      <c r="D20" s="29" t="s">
        <v>31</v>
      </c>
      <c r="E20" s="29"/>
      <c r="F20" s="29" t="s">
        <v>32</v>
      </c>
      <c r="G20" s="30"/>
    </row>
    <row r="21" spans="1:7" x14ac:dyDescent="0.25">
      <c r="A21" s="13" t="s">
        <v>13</v>
      </c>
      <c r="B21" s="23">
        <v>1.34</v>
      </c>
      <c r="C21" s="23">
        <v>0.10199999999999999</v>
      </c>
      <c r="D21" s="31">
        <v>3.3700000000000002E-3</v>
      </c>
      <c r="E21" s="31"/>
      <c r="F21" s="31">
        <v>0.45</v>
      </c>
      <c r="G21" s="44"/>
    </row>
    <row r="22" spans="1:7" x14ac:dyDescent="0.25">
      <c r="A22" s="14" t="s">
        <v>15</v>
      </c>
      <c r="B22" s="22">
        <v>3.4399999999999999E-3</v>
      </c>
      <c r="C22" s="22">
        <v>1.0399999999999999E-4</v>
      </c>
      <c r="D22" s="32">
        <v>1.0900000000000001E-5</v>
      </c>
      <c r="E22" s="32"/>
      <c r="F22" s="32">
        <v>9.4300000000000004E-4</v>
      </c>
      <c r="G22" s="45"/>
    </row>
    <row r="23" spans="1:7" ht="15.75" thickBot="1" x14ac:dyDescent="0.3">
      <c r="A23" s="8" t="s">
        <v>21</v>
      </c>
      <c r="B23" s="24">
        <v>-11</v>
      </c>
      <c r="C23" s="24">
        <v>-0.215</v>
      </c>
      <c r="D23" s="42">
        <v>-1.43E-2</v>
      </c>
      <c r="E23" s="42"/>
      <c r="F23" s="42">
        <v>-14.2</v>
      </c>
      <c r="G23" s="46"/>
    </row>
    <row r="24" spans="1:7" ht="15.75" thickBot="1" x14ac:dyDescent="0.3">
      <c r="A24" s="10" t="s">
        <v>27</v>
      </c>
      <c r="B24" s="25">
        <v>-9.6199999999999992</v>
      </c>
      <c r="C24" s="25">
        <v>-0.113</v>
      </c>
      <c r="D24" s="43">
        <v>-1.09E-2</v>
      </c>
      <c r="E24" s="43"/>
      <c r="F24" s="43">
        <v>-13.7</v>
      </c>
      <c r="G24" s="4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23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33" t="s">
        <v>30</v>
      </c>
      <c r="B27" s="40"/>
      <c r="C27" s="40"/>
      <c r="D27" s="40"/>
      <c r="E27" s="40"/>
      <c r="F27" s="40"/>
      <c r="G27" s="41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5:E15"/>
    <mergeCell ref="B16:E16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2026-08-06T16:30:15Z</dcterms:modified>
</cp:coreProperties>
</file>