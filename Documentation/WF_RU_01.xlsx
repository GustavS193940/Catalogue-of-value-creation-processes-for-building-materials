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6CE796E-BEAD-402F-8A2A-C62A99BB336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F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21" i="1"/>
  <c r="F20" i="1"/>
  <c r="F19" i="1"/>
  <c r="F18" i="1"/>
  <c r="F17" i="1"/>
  <c r="F15" i="1" l="1"/>
</calcChain>
</file>

<file path=xl/sharedStrings.xml><?xml version="1.0" encoding="utf-8"?>
<sst xmlns="http://schemas.openxmlformats.org/spreadsheetml/2006/main" count="56" uniqueCount="45">
  <si>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</si>
  <si>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</si>
  <si>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</si>
  <si>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</si>
  <si>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</si>
  <si>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</si>
  <si>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</si>
  <si>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</si>
  <si>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</si>
  <si>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</si>
  <si>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</si>
  <si>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</si>
  <si>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</si>
  <si>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</si>
  <si>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</si>
  <si>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</si>
  <si>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</si>
  <si>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</si>
  <si>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</si>
  <si>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</si>
  <si>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</si>
  <si>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</si>
  <si>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</si>
  <si>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</si>
  <si>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Page 2 of 2</t>
  </si>
  <si>
    <t>Waste wood, untreated {GLO}| treatment of waste wood, untreated, municipal incineration | Cut-off, S</t>
  </si>
  <si>
    <t>Wood Floor</t>
  </si>
  <si>
    <t>1 m²</t>
  </si>
  <si>
    <t>kg/m²</t>
  </si>
  <si>
    <t>tkm</t>
  </si>
  <si>
    <t>Incineration of residual</t>
  </si>
  <si>
    <t>Avoided wood</t>
  </si>
  <si>
    <t>m³</t>
  </si>
  <si>
    <t>WF_RU_01 - Life Cycle Inventory</t>
  </si>
  <si>
    <t>Reuse</t>
  </si>
  <si>
    <t>Transportation of residual</t>
  </si>
  <si>
    <t>kgkm</t>
  </si>
  <si>
    <t>Laquer</t>
  </si>
  <si>
    <t>Sawnwood, board, hardwood, dried (u=20%), planed {Europe without Switzerland}| market for sawnwood, board, hardwood, dried (u=20%), planed | Cut-off, S</t>
  </si>
  <si>
    <t>Wood preservative, organic, indoor use, dry {GLO}| market for wood preservative, organic, indoor use, dry | Cut-off, S</t>
  </si>
  <si>
    <t>g</t>
  </si>
  <si>
    <t>1 m² of wood floor is extracted from the building by hand. The wood floor is transported 100 km by truck to a facility in Denmark where it is re-laquered for reuse (assumed 0.02 kg per kg wood). Assumed 90% of construction wood is reusable based on a guide from Closing Loops (2025) [1] . The remaining 10% is transported another 50 km by truck to a municipal incineration plant where it is incinerated for energy recovery. Heat recovery of 2.98 MJ/kg wood floor and electricity recovery of 2.73 MJ/kg wood calculated as an average from Junckers floor EPDs [2, 3, 4, 5].</t>
  </si>
  <si>
    <t>EcoInvent database version: 3.12
Impact assessment method: ReCiPe2016 Midpoint (H)
Mass factor determined from BR18, appendix 2, table 7 ID #G1134.
EcoInvent process for avoided wood assumes density of 707 kg/m³, so volume has been scaled to match the weight of the recycled wood.
[1] Closing Loops (2025): https://webuilddenmark.dk/wp-content/uploads/2025/10/GenbrugafGulve-final-guide.pdf
[1] MD-25119-EN: https://www.epddanmark.dk/media/ohcf1221/md-25119-en.pdf
[2] MD-25120-EN: https://www.epddanmark.dk/media/ar0npdln/md-25120-en.pdf
[3] MD-25122-EN: https://www.epddanmark.dk/media/vobe2dbg/md-25122-en.pdf
[4] MD-25123-EN: https://www.epddanmark.dk/media/cr5k1nvg/md-25123-en.pdf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</si>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</sst>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0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1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3" borderId="11" xfId="0" applyNumberFormat="1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4"/>
  <sheetViews>
    <sheetView tabSelected="1" view="pageLayout" zoomScaleNormal="100" workbookViewId="0">
      <selection activeCell="A4" sqref="A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33</v>
      </c>
      <c r="B1" s="2"/>
      <c r="C1" s="19" t="s">
        <v>23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8" t="s">
        <v>34</v>
      </c>
      <c r="C8" s="2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3" t="s">
        <v>41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7" t="s">
        <v>16</v>
      </c>
      <c r="C15" s="37"/>
      <c r="D15" s="37"/>
      <c r="E15" s="37"/>
      <c r="F15" s="20">
        <f>B6*100/1000</f>
        <v>1.1499999999999999</v>
      </c>
      <c r="G15" s="18" t="s">
        <v>29</v>
      </c>
    </row>
    <row r="16" spans="1:7" ht="46.5" customHeight="1" x14ac:dyDescent="0.25">
      <c r="A16" s="17" t="s">
        <v>37</v>
      </c>
      <c r="B16" s="37" t="s">
        <v>39</v>
      </c>
      <c r="C16" s="37"/>
      <c r="D16" s="37"/>
      <c r="E16" s="37"/>
      <c r="F16" s="27">
        <f>B6*0.9*0.02*1000</f>
        <v>207</v>
      </c>
      <c r="G16" s="18" t="s">
        <v>40</v>
      </c>
    </row>
    <row r="17" spans="1:7" ht="45" customHeight="1" x14ac:dyDescent="0.25">
      <c r="A17" s="21" t="s">
        <v>35</v>
      </c>
      <c r="B17" s="37" t="s">
        <v>16</v>
      </c>
      <c r="C17" s="37"/>
      <c r="D17" s="37"/>
      <c r="E17" s="37"/>
      <c r="F17" s="26">
        <f>B6*0.1*50</f>
        <v>57.500000000000007</v>
      </c>
      <c r="G17" s="18" t="s">
        <v>36</v>
      </c>
    </row>
    <row r="18" spans="1:7" ht="30.75" customHeight="1" x14ac:dyDescent="0.25">
      <c r="A18" s="21" t="s">
        <v>30</v>
      </c>
      <c r="B18" s="37" t="s">
        <v>25</v>
      </c>
      <c r="C18" s="37"/>
      <c r="D18" s="37"/>
      <c r="E18" s="37"/>
      <c r="F18" s="20">
        <f>B6*0.1</f>
        <v>1.1500000000000001</v>
      </c>
      <c r="G18" s="18" t="s">
        <v>10</v>
      </c>
    </row>
    <row r="19" spans="1:7" ht="45.75" customHeight="1" x14ac:dyDescent="0.25">
      <c r="A19" s="17" t="s">
        <v>20</v>
      </c>
      <c r="B19" s="37" t="s">
        <v>21</v>
      </c>
      <c r="C19" s="37"/>
      <c r="D19" s="37"/>
      <c r="E19" s="37"/>
      <c r="F19" s="20">
        <f>-2.98*B6*0.1</f>
        <v>-3.4270000000000005</v>
      </c>
      <c r="G19" s="18" t="s">
        <v>22</v>
      </c>
    </row>
    <row r="20" spans="1:7" ht="15.75" customHeight="1" x14ac:dyDescent="0.25">
      <c r="A20" s="22" t="s">
        <v>19</v>
      </c>
      <c r="B20" s="38" t="s">
        <v>18</v>
      </c>
      <c r="C20" s="38"/>
      <c r="D20" s="38"/>
      <c r="E20" s="38"/>
      <c r="F20" s="24">
        <f>-2.73*B6*0.1</f>
        <v>-3.1395</v>
      </c>
      <c r="G20" s="23" t="s">
        <v>22</v>
      </c>
    </row>
    <row r="21" spans="1:7" ht="46.5" customHeight="1" thickBot="1" x14ac:dyDescent="0.3">
      <c r="A21" s="8" t="s">
        <v>31</v>
      </c>
      <c r="B21" s="39" t="s">
        <v>38</v>
      </c>
      <c r="C21" s="39"/>
      <c r="D21" s="39"/>
      <c r="E21" s="39"/>
      <c r="F21" s="25">
        <f>-B6*0.9/707</f>
        <v>-1.4639321074964639E-2</v>
      </c>
      <c r="G21" s="12" t="s">
        <v>32</v>
      </c>
    </row>
    <row r="22" spans="1:7" ht="138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33</v>
      </c>
      <c r="B23" s="2"/>
      <c r="C23" s="19" t="s">
        <v>24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3" t="s">
        <v>14</v>
      </c>
      <c r="C26" s="13" t="s">
        <v>13</v>
      </c>
      <c r="D26" s="30" t="s">
        <v>43</v>
      </c>
      <c r="E26" s="30"/>
      <c r="F26" s="30" t="s">
        <v>44</v>
      </c>
      <c r="G26" s="31"/>
    </row>
    <row r="27" spans="1:7" x14ac:dyDescent="0.25">
      <c r="A27" s="17" t="s">
        <v>9</v>
      </c>
      <c r="B27" s="14">
        <v>0.22</v>
      </c>
      <c r="C27" s="14">
        <v>9.7800000000000005E-3</v>
      </c>
      <c r="D27" s="32">
        <v>5.8E-4</v>
      </c>
      <c r="E27" s="32"/>
      <c r="F27" s="32">
        <v>6.93E-2</v>
      </c>
      <c r="G27" s="44"/>
    </row>
    <row r="28" spans="1:7" x14ac:dyDescent="0.25">
      <c r="A28" s="17" t="s">
        <v>37</v>
      </c>
      <c r="B28" s="14">
        <v>0.22900000000000001</v>
      </c>
      <c r="C28" s="14">
        <v>7.5399999999999998E-3</v>
      </c>
      <c r="D28" s="32">
        <v>1.2999999999999999E-3</v>
      </c>
      <c r="E28" s="32"/>
      <c r="F28" s="32">
        <v>0.27</v>
      </c>
      <c r="G28" s="44"/>
    </row>
    <row r="29" spans="1:7" ht="30" x14ac:dyDescent="0.25">
      <c r="A29" s="21" t="s">
        <v>35</v>
      </c>
      <c r="B29" s="14">
        <v>1.0999999999999999E-2</v>
      </c>
      <c r="C29" s="14">
        <v>4.8899999999999996E-4</v>
      </c>
      <c r="D29" s="32">
        <v>2.9E-5</v>
      </c>
      <c r="E29" s="32"/>
      <c r="F29" s="32">
        <v>3.47E-3</v>
      </c>
      <c r="G29" s="44"/>
    </row>
    <row r="30" spans="1:7" ht="30" x14ac:dyDescent="0.25">
      <c r="A30" s="21" t="s">
        <v>30</v>
      </c>
      <c r="B30" s="14">
        <v>1.8100000000000002E-2</v>
      </c>
      <c r="C30" s="14">
        <v>2.9700000000000001E-4</v>
      </c>
      <c r="D30" s="32">
        <v>1.5300000000000001E-4</v>
      </c>
      <c r="E30" s="32"/>
      <c r="F30" s="32">
        <v>3.6900000000000001E-3</v>
      </c>
      <c r="G30" s="44"/>
    </row>
    <row r="31" spans="1:7" x14ac:dyDescent="0.25">
      <c r="A31" s="17" t="s">
        <v>20</v>
      </c>
      <c r="B31" s="14">
        <v>-0.25</v>
      </c>
      <c r="C31" s="14">
        <v>-1.46E-2</v>
      </c>
      <c r="D31" s="32">
        <v>-8.1100000000000006E-5</v>
      </c>
      <c r="E31" s="32"/>
      <c r="F31" s="32">
        <v>-5.4399999999999997E-2</v>
      </c>
      <c r="G31" s="44"/>
    </row>
    <row r="32" spans="1:7" x14ac:dyDescent="0.25">
      <c r="A32" s="22" t="s">
        <v>19</v>
      </c>
      <c r="B32" s="14">
        <v>-0.156</v>
      </c>
      <c r="C32" s="14">
        <v>-3.5200000000000002E-2</v>
      </c>
      <c r="D32" s="32">
        <v>-1.3500000000000001E-3</v>
      </c>
      <c r="E32" s="32"/>
      <c r="F32" s="32">
        <v>-3.8399999999999997E-2</v>
      </c>
      <c r="G32" s="44"/>
    </row>
    <row r="33" spans="1:7" ht="15.75" thickBot="1" x14ac:dyDescent="0.3">
      <c r="A33" s="8" t="s">
        <v>31</v>
      </c>
      <c r="B33" s="15">
        <v>-1.47</v>
      </c>
      <c r="C33" s="15">
        <v>-13.4</v>
      </c>
      <c r="D33" s="46">
        <v>-6.2899999999999996E-3</v>
      </c>
      <c r="E33" s="46"/>
      <c r="F33" s="46">
        <v>-0.43</v>
      </c>
      <c r="G33" s="47"/>
    </row>
    <row r="34" spans="1:7" ht="15.75" thickBot="1" x14ac:dyDescent="0.3">
      <c r="A34" s="9" t="s">
        <v>15</v>
      </c>
      <c r="B34" s="16">
        <v>-1.39</v>
      </c>
      <c r="C34" s="16">
        <v>-13.4</v>
      </c>
      <c r="D34" s="43">
        <v>-5.6600000000000001E-3</v>
      </c>
      <c r="E34" s="43"/>
      <c r="F34" s="43">
        <v>-0.17599999999999999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83.75" customHeight="1" thickBot="1" x14ac:dyDescent="0.3">
      <c r="A37" s="40" t="s">
        <v>42</v>
      </c>
      <c r="B37" s="41"/>
      <c r="C37" s="41"/>
      <c r="D37" s="41"/>
      <c r="E37" s="41"/>
      <c r="F37" s="41"/>
      <c r="G37" s="42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</sheetData>
  <mergeCells count="29">
    <mergeCell ref="A37:G37"/>
    <mergeCell ref="D32:E32"/>
    <mergeCell ref="D34:E34"/>
    <mergeCell ref="F27:G27"/>
    <mergeCell ref="F32:G32"/>
    <mergeCell ref="F34:G34"/>
    <mergeCell ref="D30:E30"/>
    <mergeCell ref="F30:G30"/>
    <mergeCell ref="D31:E31"/>
    <mergeCell ref="F31:G31"/>
    <mergeCell ref="D33:E33"/>
    <mergeCell ref="F33:G33"/>
    <mergeCell ref="D28:E28"/>
    <mergeCell ref="F28:G28"/>
    <mergeCell ref="D29:E29"/>
    <mergeCell ref="F29:G29"/>
    <mergeCell ref="B8:C8"/>
    <mergeCell ref="D26:E26"/>
    <mergeCell ref="F26:G26"/>
    <mergeCell ref="D27:E27"/>
    <mergeCell ref="A11:G11"/>
    <mergeCell ref="B14:E14"/>
    <mergeCell ref="B15:E15"/>
    <mergeCell ref="B18:E18"/>
    <mergeCell ref="B20:E20"/>
    <mergeCell ref="B19:E19"/>
    <mergeCell ref="B21:E21"/>
    <mergeCell ref="B17:E17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2026-08-06T16:48:20Z</dcterms:modified>
</cp:coreProperties>
</file>