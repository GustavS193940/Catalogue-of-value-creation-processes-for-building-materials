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E400C425-3B29-4182-80AF-66D338B2290D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UIC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9" i="1" l="1"/>
  <c r="F18" i="1"/>
  <c r="B6" i="1"/>
  <c r="F17" i="1" s="1"/>
  <c r="F21" i="1" l="1"/>
  <c r="F16" i="1"/>
  <c r="F15" i="1" l="1"/>
</calcChain>
</file>

<file path=xl/sharedStrings.xml><?xml version="1.0" encoding="utf-8"?>
<sst xmlns="http://schemas.openxmlformats.org/spreadsheetml/2006/main" count="56" uniqueCount="43">
  <si>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</si>
  <si>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</si>
  <si>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</si>
  <si>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</si>
  <si>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</si>
  <si>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</si>
  <si>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</si>
  <si>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</si>
  <si>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</si>
  <si>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</si>
  <si>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</si>
  <si>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</si>
  <si>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</si>
  <si>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</si>
  <si>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</si>
  <si>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</si>
  <si>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</si>
  <si>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</si>
  <si>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</si>
  <si>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Diesel, burned in building machine {GLO}| market for diesel, burned in building machine | Cut-off, S</t>
  </si>
  <si>
    <t>MJ</t>
  </si>
  <si>
    <t>tkm</t>
  </si>
  <si>
    <t>Unreinforced Insitu Concrete</t>
  </si>
  <si>
    <t>1 m³</t>
  </si>
  <si>
    <t>kg/m³</t>
  </si>
  <si>
    <t>UIC_RC_01 - Life Cycle Inventory</t>
  </si>
  <si>
    <t>Recycling (New Concrete)</t>
  </si>
  <si>
    <t>Crushing</t>
  </si>
  <si>
    <t>Rock crushing {RER}| rock crushing | Cut-off, S</t>
  </si>
  <si>
    <t>Avoided gravel</t>
  </si>
  <si>
    <t>Gravel, crushed {RoW}| market for gravel, crushed | Cut-off, S</t>
  </si>
  <si>
    <t>1 m³ reinforced concrete is extracted from the building using diesel-driven machinery. Assumed diesel use of 1.4 L/t material based on a report from the Danish Environmental Protection Agency [1]. The reinforced concrete is transported 100 km by truck to a facility in Denmark where it is crushed into rubble, of which approximately 60% of the concrete replaces gravel as aggregate in production of new concrete and the remaining 40% replaces gravel in road fill. The reinforcement steel is then transported another 1000 km by truck to a facility in Europe where it is melted, replacing virgin steel in the production of new steel.</t>
  </si>
  <si>
    <t>Transport, freight, lorry, &gt;32 metric ton, diesel, EURO 6 {RER}| market for transport, freight, lorry, &gt;32 metric ton, diesel, EURO 6 | Cut-off, S</t>
  </si>
  <si>
    <t>Energy and auxilliary inputs, metal working machine {RER}| energy and auxilliary, metal working machine, with process heat from natural gas | Cut-off, S</t>
  </si>
  <si>
    <t>Avoided steel</t>
  </si>
  <si>
    <t>Steel, unalloyed {GLO}| market for steel, unalloyed | Cut-off, S</t>
  </si>
  <si>
    <t>Transportation of reinforcement</t>
  </si>
  <si>
    <t>Melting of reinforcement</t>
  </si>
  <si>
    <t>Page 2 of 2</t>
  </si>
  <si>
    <t>Page 1 of 2</t>
  </si>
  <si>
    <t>EcoInvent database version: 3.12
Impact assessment method: ReCiPe2016 Midpoint (H)
Mass factor determined from BR18, appendix 2, table 7 ID #B1441, with 30 kg reinforcement steel per m³.
Diesel density assumed to be 0.845 kg/L with an energy density of 42.7 MJ/kg.
[1] Miljøstyrelsen: https://www2.mst.dk/Udgiv/publikationer/2022/02/978-87-7038-353-0.pdf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</si>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</sst>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3" borderId="1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1" fontId="0" fillId="3" borderId="8" xfId="0" applyNumberFormat="1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" fontId="0" fillId="3" borderId="10" xfId="0" applyNumberFormat="1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64" fontId="0" fillId="3" borderId="15" xfId="0" applyNumberFormat="1" applyFill="1" applyBorder="1" applyAlignment="1">
      <alignment vertical="center"/>
    </xf>
    <xf numFmtId="0" fontId="0" fillId="3" borderId="14" xfId="0" applyFill="1" applyBorder="1" applyAlignment="1">
      <alignment vertical="center" wrapText="1"/>
    </xf>
    <xf numFmtId="0" fontId="0" fillId="3" borderId="17" xfId="0" applyFill="1" applyBorder="1" applyAlignment="1">
      <alignment vertical="center" wrapText="1"/>
    </xf>
    <xf numFmtId="164" fontId="0" fillId="3" borderId="10" xfId="0" applyNumberFormat="1" applyFill="1" applyBorder="1" applyAlignment="1">
      <alignment vertical="center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/>
    <xf numFmtId="0" fontId="0" fillId="3" borderId="15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59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25</v>
      </c>
      <c r="B1" s="2"/>
      <c r="C1" s="21" t="s">
        <v>39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33" t="s">
        <v>22</v>
      </c>
      <c r="C3" s="3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23</v>
      </c>
      <c r="C5" s="4"/>
      <c r="D5" s="4"/>
      <c r="E5" s="4"/>
      <c r="F5" s="4"/>
      <c r="G5" s="4"/>
    </row>
    <row r="6" spans="1:7" x14ac:dyDescent="0.25">
      <c r="A6" s="5" t="s">
        <v>2</v>
      </c>
      <c r="B6" s="22">
        <f>2267+30</f>
        <v>2297</v>
      </c>
      <c r="C6" s="4" t="s">
        <v>24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6" t="s">
        <v>26</v>
      </c>
      <c r="C8" s="47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07.25" customHeight="1" thickBot="1" x14ac:dyDescent="0.3">
      <c r="A11" s="35" t="s">
        <v>31</v>
      </c>
      <c r="B11" s="36"/>
      <c r="C11" s="36"/>
      <c r="D11" s="36"/>
      <c r="E11" s="36"/>
      <c r="F11" s="36"/>
      <c r="G11" s="37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50" t="s">
        <v>17</v>
      </c>
      <c r="C14" s="50"/>
      <c r="D14" s="50"/>
      <c r="E14" s="50"/>
      <c r="F14" s="9" t="s">
        <v>8</v>
      </c>
      <c r="G14" s="10" t="s">
        <v>1</v>
      </c>
    </row>
    <row r="15" spans="1:7" ht="32.25" customHeight="1" x14ac:dyDescent="0.25">
      <c r="A15" s="11" t="s">
        <v>18</v>
      </c>
      <c r="B15" s="52" t="s">
        <v>19</v>
      </c>
      <c r="C15" s="52"/>
      <c r="D15" s="52"/>
      <c r="E15" s="52"/>
      <c r="F15" s="25">
        <f>B6*1.4/1000*0.845*42.7</f>
        <v>116.03088770000001</v>
      </c>
      <c r="G15" s="12" t="s">
        <v>20</v>
      </c>
    </row>
    <row r="16" spans="1:7" ht="45" customHeight="1" x14ac:dyDescent="0.25">
      <c r="A16" s="19" t="s">
        <v>9</v>
      </c>
      <c r="B16" s="51" t="s">
        <v>16</v>
      </c>
      <c r="C16" s="51"/>
      <c r="D16" s="51"/>
      <c r="E16" s="51"/>
      <c r="F16" s="24">
        <f>B6*100/1000</f>
        <v>229.7</v>
      </c>
      <c r="G16" s="20" t="s">
        <v>21</v>
      </c>
    </row>
    <row r="17" spans="1:7" x14ac:dyDescent="0.25">
      <c r="A17" s="26" t="s">
        <v>27</v>
      </c>
      <c r="B17" s="53" t="s">
        <v>28</v>
      </c>
      <c r="C17" s="53"/>
      <c r="D17" s="53"/>
      <c r="E17" s="53"/>
      <c r="F17" s="27">
        <f>B6</f>
        <v>2297</v>
      </c>
      <c r="G17" s="28" t="s">
        <v>10</v>
      </c>
    </row>
    <row r="18" spans="1:7" ht="45" customHeight="1" x14ac:dyDescent="0.25">
      <c r="A18" s="30" t="s">
        <v>36</v>
      </c>
      <c r="B18" s="51" t="s">
        <v>32</v>
      </c>
      <c r="C18" s="51"/>
      <c r="D18" s="51"/>
      <c r="E18" s="51"/>
      <c r="F18" s="29">
        <f>30*1000/1000</f>
        <v>30</v>
      </c>
      <c r="G18" s="20" t="s">
        <v>21</v>
      </c>
    </row>
    <row r="19" spans="1:7" ht="46.5" customHeight="1" x14ac:dyDescent="0.25">
      <c r="A19" s="31" t="s">
        <v>37</v>
      </c>
      <c r="B19" s="53" t="s">
        <v>33</v>
      </c>
      <c r="C19" s="53"/>
      <c r="D19" s="53"/>
      <c r="E19" s="53"/>
      <c r="F19" s="32">
        <f>30</f>
        <v>30</v>
      </c>
      <c r="G19" s="28" t="s">
        <v>10</v>
      </c>
    </row>
    <row r="20" spans="1:7" ht="30.75" customHeight="1" x14ac:dyDescent="0.25">
      <c r="A20" s="26" t="s">
        <v>34</v>
      </c>
      <c r="B20" s="53" t="s">
        <v>35</v>
      </c>
      <c r="C20" s="53"/>
      <c r="D20" s="53"/>
      <c r="E20" s="53"/>
      <c r="F20" s="32">
        <v>-30</v>
      </c>
      <c r="G20" s="28" t="s">
        <v>10</v>
      </c>
    </row>
    <row r="21" spans="1:7" ht="32.25" customHeight="1" thickBot="1" x14ac:dyDescent="0.3">
      <c r="A21" s="7" t="s">
        <v>29</v>
      </c>
      <c r="B21" s="54" t="s">
        <v>30</v>
      </c>
      <c r="C21" s="54"/>
      <c r="D21" s="54"/>
      <c r="E21" s="54"/>
      <c r="F21" s="23">
        <f>-(B6-30)</f>
        <v>-2267</v>
      </c>
      <c r="G21" s="13" t="s">
        <v>10</v>
      </c>
    </row>
    <row r="22" spans="1:7" ht="153.75" customHeight="1" x14ac:dyDescent="0.25">
      <c r="A22" s="4"/>
      <c r="B22" s="4"/>
      <c r="C22" s="4"/>
      <c r="D22" s="4"/>
      <c r="E22" s="4"/>
      <c r="F22" s="4"/>
      <c r="G22" s="4"/>
    </row>
    <row r="23" spans="1:7" s="1" customFormat="1" ht="15.75" thickBot="1" x14ac:dyDescent="0.3">
      <c r="A23" s="2" t="s">
        <v>25</v>
      </c>
      <c r="B23" s="2"/>
      <c r="C23" s="21" t="s">
        <v>38</v>
      </c>
      <c r="D23" s="2"/>
      <c r="E23" s="2"/>
      <c r="F23" s="2"/>
      <c r="G23" s="3">
        <v>46191</v>
      </c>
    </row>
    <row r="24" spans="1:7" x14ac:dyDescent="0.25">
      <c r="A24" s="4"/>
      <c r="B24" s="4"/>
      <c r="C24" s="4"/>
      <c r="D24" s="4"/>
      <c r="E24" s="4"/>
      <c r="F24" s="4"/>
      <c r="G24" s="4"/>
    </row>
    <row r="25" spans="1:7" ht="15.75" thickBot="1" x14ac:dyDescent="0.3">
      <c r="A25" s="5" t="s">
        <v>11</v>
      </c>
      <c r="B25" s="4"/>
      <c r="C25" s="4"/>
      <c r="D25" s="4"/>
      <c r="E25" s="4"/>
      <c r="F25" s="4"/>
      <c r="G25" s="4"/>
    </row>
    <row r="26" spans="1:7" ht="47.25" thickBot="1" x14ac:dyDescent="0.4">
      <c r="A26" s="8" t="s">
        <v>3</v>
      </c>
      <c r="B26" s="14" t="s">
        <v>14</v>
      </c>
      <c r="C26" s="14" t="s">
        <v>13</v>
      </c>
      <c r="D26" s="48" t="s">
        <v>41</v>
      </c>
      <c r="E26" s="48"/>
      <c r="F26" s="48" t="s">
        <v>42</v>
      </c>
      <c r="G26" s="49"/>
    </row>
    <row r="27" spans="1:7" x14ac:dyDescent="0.25">
      <c r="A27" s="11" t="s">
        <v>18</v>
      </c>
      <c r="B27" s="16">
        <v>11.9</v>
      </c>
      <c r="C27" s="16">
        <v>8.3599999999999994E-2</v>
      </c>
      <c r="D27" s="40">
        <v>1.9199999999999998E-2</v>
      </c>
      <c r="E27" s="40"/>
      <c r="F27" s="40">
        <v>3.5</v>
      </c>
      <c r="G27" s="41"/>
    </row>
    <row r="28" spans="1:7" x14ac:dyDescent="0.25">
      <c r="A28" s="19" t="s">
        <v>9</v>
      </c>
      <c r="B28" s="15">
        <v>44</v>
      </c>
      <c r="C28" s="15">
        <v>1.96</v>
      </c>
      <c r="D28" s="42">
        <v>0.11600000000000001</v>
      </c>
      <c r="E28" s="42"/>
      <c r="F28" s="42">
        <v>13.9</v>
      </c>
      <c r="G28" s="43"/>
    </row>
    <row r="29" spans="1:7" x14ac:dyDescent="0.25">
      <c r="A29" s="26" t="s">
        <v>27</v>
      </c>
      <c r="B29" s="15">
        <v>0.61699999999999999</v>
      </c>
      <c r="C29" s="15">
        <v>1.8599999999999998E-2</v>
      </c>
      <c r="D29" s="42">
        <v>1.9599999999999999E-3</v>
      </c>
      <c r="E29" s="42"/>
      <c r="F29" s="42">
        <v>0.16900000000000001</v>
      </c>
      <c r="G29" s="43"/>
    </row>
    <row r="30" spans="1:7" ht="30" x14ac:dyDescent="0.25">
      <c r="A30" s="30" t="s">
        <v>36</v>
      </c>
      <c r="B30" s="15">
        <v>3.13</v>
      </c>
      <c r="C30" s="15">
        <v>0.23899999999999999</v>
      </c>
      <c r="D30" s="42">
        <v>7.8899999999999994E-3</v>
      </c>
      <c r="E30" s="42"/>
      <c r="F30" s="42">
        <v>1.05</v>
      </c>
      <c r="G30" s="43"/>
    </row>
    <row r="31" spans="1:7" ht="30" x14ac:dyDescent="0.25">
      <c r="A31" s="31" t="s">
        <v>37</v>
      </c>
      <c r="B31" s="15">
        <v>22.7</v>
      </c>
      <c r="C31" s="15">
        <v>0.48299999999999998</v>
      </c>
      <c r="D31" s="42">
        <v>5.96E-2</v>
      </c>
      <c r="E31" s="42"/>
      <c r="F31" s="42">
        <v>7.41</v>
      </c>
      <c r="G31" s="43"/>
    </row>
    <row r="32" spans="1:7" x14ac:dyDescent="0.25">
      <c r="A32" s="26" t="s">
        <v>34</v>
      </c>
      <c r="B32" s="15">
        <v>-56.3</v>
      </c>
      <c r="C32" s="15">
        <v>-1.19</v>
      </c>
      <c r="D32" s="42">
        <v>-1.94</v>
      </c>
      <c r="E32" s="42"/>
      <c r="F32" s="42">
        <v>-12.6</v>
      </c>
      <c r="G32" s="43"/>
    </row>
    <row r="33" spans="1:7" ht="15.75" thickBot="1" x14ac:dyDescent="0.3">
      <c r="A33" s="7" t="s">
        <v>29</v>
      </c>
      <c r="B33" s="17">
        <v>-42.3</v>
      </c>
      <c r="C33" s="17">
        <v>-5.15</v>
      </c>
      <c r="D33" s="38">
        <v>-0.192</v>
      </c>
      <c r="E33" s="38"/>
      <c r="F33" s="38">
        <v>-11.8</v>
      </c>
      <c r="G33" s="44"/>
    </row>
    <row r="34" spans="1:7" ht="15.75" thickBot="1" x14ac:dyDescent="0.3">
      <c r="A34" s="8" t="s">
        <v>15</v>
      </c>
      <c r="B34" s="18">
        <v>-16.399999999999999</v>
      </c>
      <c r="C34" s="18">
        <v>-3.56</v>
      </c>
      <c r="D34" s="39">
        <v>-1.93</v>
      </c>
      <c r="E34" s="39"/>
      <c r="F34" s="39">
        <v>1.53</v>
      </c>
      <c r="G34" s="45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ht="15.75" thickBot="1" x14ac:dyDescent="0.3">
      <c r="A36" s="5" t="s">
        <v>12</v>
      </c>
      <c r="B36" s="4"/>
      <c r="C36" s="4"/>
      <c r="D36" s="4"/>
      <c r="E36" s="4"/>
      <c r="F36" s="4"/>
      <c r="G36" s="4"/>
    </row>
    <row r="37" spans="1:7" ht="114.75" customHeight="1" thickBot="1" x14ac:dyDescent="0.3">
      <c r="A37" s="35" t="s">
        <v>40</v>
      </c>
      <c r="B37" s="36"/>
      <c r="C37" s="36"/>
      <c r="D37" s="36"/>
      <c r="E37" s="36"/>
      <c r="F37" s="36"/>
      <c r="G37" s="37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</sheetData>
  <mergeCells count="30">
    <mergeCell ref="D30:E30"/>
    <mergeCell ref="F30:G30"/>
    <mergeCell ref="D31:E31"/>
    <mergeCell ref="F31:G31"/>
    <mergeCell ref="D32:E32"/>
    <mergeCell ref="F32:G32"/>
    <mergeCell ref="F29:G29"/>
    <mergeCell ref="B15:E15"/>
    <mergeCell ref="B17:E17"/>
    <mergeCell ref="B21:E21"/>
    <mergeCell ref="D29:E29"/>
    <mergeCell ref="B18:E18"/>
    <mergeCell ref="B19:E19"/>
    <mergeCell ref="B20:E20"/>
    <mergeCell ref="B3:C3"/>
    <mergeCell ref="A37:G37"/>
    <mergeCell ref="D33:E33"/>
    <mergeCell ref="D34:E34"/>
    <mergeCell ref="F27:G27"/>
    <mergeCell ref="F28:G28"/>
    <mergeCell ref="F33:G33"/>
    <mergeCell ref="F34:G34"/>
    <mergeCell ref="B8:C8"/>
    <mergeCell ref="D26:E26"/>
    <mergeCell ref="F26:G26"/>
    <mergeCell ref="D27:E27"/>
    <mergeCell ref="D28:E28"/>
    <mergeCell ref="A11:G11"/>
    <mergeCell ref="B14:E14"/>
    <mergeCell ref="B16:E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UIC_RC_01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2026-08-06T16:36:08Z</dcterms:modified>
</cp:coreProperties>
</file>