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C4A43E5-4DEC-4717-A3A8-F72A2701D973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E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7" i="1" l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<sst xmlns="http://schemas.openxmlformats.org/spreadsheetml/2006/main" count="38" uniqueCount="33">
  <si>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</si>
  <si>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</si>
  <si>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</si>
  <si>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</si>
  <si>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</si>
  <si>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</si>
  <si>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</si>
  <si>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</si>
  <si>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</si>
  <si>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</si>
  <si>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</si>
  <si>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</si>
  <si>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</si>
  <si>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</si>
  <si>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</si>
  <si>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</si>
  <si>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</si>
  <si>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</si>
  <si>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</si>
  <si>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</si>
  <si>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</si>
  <si>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</si>
  <si>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</si>
  <si>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</si>
  <si>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1 m³</t>
  </si>
  <si>
    <t>kg/m³</t>
  </si>
  <si>
    <t>Waste concrete {Europe without Switzerland}| treatment of waste concrete, inert material landfill | Cut-off, S</t>
  </si>
  <si>
    <t>Concrete Wall Element</t>
  </si>
  <si>
    <t>CWE_LF_01 - Life Cycle Inventory</t>
  </si>
  <si>
    <t>1 m³ concrete wall element is extracted from the building using diesel-driven machinery. Assumed diesel use of 1.4 L/t material based on a report from the Danish Environmental Protection Agency [1]. The concrete wall element is transported 50 km by truck to a municipal landfill site.</t>
  </si>
  <si>
    <t>EcoInvent database version: 3.12
Impact assessment method: ReCiPe2016 Midpoint (H)
Mass factor determined from BR18, appendix 2, table 7 ID #B1441, with 60 kg reinforcement steel per m³.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</si>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</sst>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28</v>
      </c>
      <c r="B1" s="2"/>
      <c r="C1" s="21" t="s">
        <v>22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3" t="s">
        <v>27</v>
      </c>
      <c r="C3" s="4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2267+60</f>
        <v>2327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5" t="s">
        <v>18</v>
      </c>
      <c r="C8" s="4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0" t="s">
        <v>29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9" t="s">
        <v>17</v>
      </c>
      <c r="C14" s="39"/>
      <c r="D14" s="39"/>
      <c r="E14" s="39"/>
      <c r="F14" s="9" t="s">
        <v>8</v>
      </c>
      <c r="G14" s="10" t="s">
        <v>1</v>
      </c>
    </row>
    <row r="15" spans="1:7" ht="32.25" customHeight="1" x14ac:dyDescent="0.25">
      <c r="A15" s="11" t="s">
        <v>19</v>
      </c>
      <c r="B15" s="42" t="s">
        <v>20</v>
      </c>
      <c r="C15" s="42"/>
      <c r="D15" s="42"/>
      <c r="E15" s="42"/>
      <c r="F15" s="25">
        <f>B6*1.4/1000*0.845*42.7</f>
        <v>117.54631069999999</v>
      </c>
      <c r="G15" s="12" t="s">
        <v>21</v>
      </c>
    </row>
    <row r="16" spans="1:7" ht="45" customHeight="1" x14ac:dyDescent="0.25">
      <c r="A16" s="19" t="s">
        <v>9</v>
      </c>
      <c r="B16" s="40" t="s">
        <v>16</v>
      </c>
      <c r="C16" s="40"/>
      <c r="D16" s="40"/>
      <c r="E16" s="40"/>
      <c r="F16" s="24">
        <f>B6*50/1000</f>
        <v>116.35</v>
      </c>
      <c r="G16" s="20" t="s">
        <v>23</v>
      </c>
    </row>
    <row r="17" spans="1:7" ht="32.25" customHeight="1" thickBot="1" x14ac:dyDescent="0.3">
      <c r="A17" s="7" t="s">
        <v>18</v>
      </c>
      <c r="B17" s="41" t="s">
        <v>26</v>
      </c>
      <c r="C17" s="41"/>
      <c r="D17" s="41"/>
      <c r="E17" s="41"/>
      <c r="F17" s="23">
        <f>B6</f>
        <v>2327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14</v>
      </c>
      <c r="C20" s="14" t="s">
        <v>13</v>
      </c>
      <c r="D20" s="26" t="s">
        <v>31</v>
      </c>
      <c r="E20" s="26"/>
      <c r="F20" s="26" t="s">
        <v>32</v>
      </c>
      <c r="G20" s="27"/>
    </row>
    <row r="21" spans="1:7" x14ac:dyDescent="0.25">
      <c r="A21" s="11" t="s">
        <v>19</v>
      </c>
      <c r="B21" s="16">
        <v>12.1</v>
      </c>
      <c r="C21" s="16">
        <v>8.5099999999999995E-2</v>
      </c>
      <c r="D21" s="28">
        <v>1.95E-2</v>
      </c>
      <c r="E21" s="28"/>
      <c r="F21" s="28">
        <v>3.56</v>
      </c>
      <c r="G21" s="35"/>
    </row>
    <row r="22" spans="1:7" x14ac:dyDescent="0.25">
      <c r="A22" s="19" t="s">
        <v>9</v>
      </c>
      <c r="B22" s="15">
        <v>22.2</v>
      </c>
      <c r="C22" s="15">
        <v>0.98599999999999999</v>
      </c>
      <c r="D22" s="29">
        <v>5.8500000000000003E-2</v>
      </c>
      <c r="E22" s="29"/>
      <c r="F22" s="29">
        <v>6.99</v>
      </c>
      <c r="G22" s="36"/>
    </row>
    <row r="23" spans="1:7" ht="15.75" thickBot="1" x14ac:dyDescent="0.3">
      <c r="A23" s="7" t="s">
        <v>18</v>
      </c>
      <c r="B23" s="17">
        <v>15.1</v>
      </c>
      <c r="C23" s="17">
        <v>-0.83</v>
      </c>
      <c r="D23" s="33">
        <v>3.15E-2</v>
      </c>
      <c r="E23" s="33"/>
      <c r="F23" s="33">
        <v>8.19</v>
      </c>
      <c r="G23" s="37"/>
    </row>
    <row r="24" spans="1:7" ht="15.75" thickBot="1" x14ac:dyDescent="0.3">
      <c r="A24" s="8" t="s">
        <v>15</v>
      </c>
      <c r="B24" s="18">
        <v>49.4</v>
      </c>
      <c r="C24" s="18">
        <v>0.24099999999999999</v>
      </c>
      <c r="D24" s="34">
        <v>0.109</v>
      </c>
      <c r="E24" s="34"/>
      <c r="F24" s="34">
        <v>18.7</v>
      </c>
      <c r="G24" s="38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0" t="s">
        <v>30</v>
      </c>
      <c r="B27" s="31"/>
      <c r="C27" s="31"/>
      <c r="D27" s="31"/>
      <c r="E27" s="31"/>
      <c r="F27" s="31"/>
      <c r="G27" s="32"/>
    </row>
  </sheetData>
  <mergeCells count="18">
    <mergeCell ref="B3:C3"/>
    <mergeCell ref="B8:C8"/>
    <mergeCell ref="A27:G27"/>
    <mergeCell ref="D23:E23"/>
    <mergeCell ref="D24:E24"/>
    <mergeCell ref="F21:G21"/>
    <mergeCell ref="F22:G22"/>
    <mergeCell ref="F23:G23"/>
    <mergeCell ref="F24:G24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CWE_LF_01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2026-08-06T16:29:02Z</dcterms:modified>
</cp:coreProperties>
</file>