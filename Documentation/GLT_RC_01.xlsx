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AD69D73-317A-4CF9-A233-2045818DC698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LT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<sst xmlns="http://schemas.openxmlformats.org/spreadsheetml/2006/main" count="52" uniqueCount="42">
  <si>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</si>
  <si>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</si>
  <si>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</si>
  <si>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</si>
  <si>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</si>
  <si>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</si>
  <si>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</si>
  <si>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</si>
  <si>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</si>
  <si>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</si>
  <si>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</si>
  <si>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</si>
  <si>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</si>
  <si>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</si>
  <si>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</si>
  <si>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</si>
  <si>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</si>
  <si>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</si>
  <si>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</si>
  <si>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</si>
  <si>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</si>
  <si>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</si>
  <si>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</si>
  <si>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</si>
  <si>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</si>
  <si>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</si>
  <si>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</si>
  <si>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</si>
  <si>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</si>
  <si>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</si>
  <si>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</si>
  <si>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</si>
  <si>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</si>
  <si>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</si>
  <si>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</si>
  <si>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GLT_RC_01 - Life Cycle Inventory</t>
  </si>
  <si>
    <t>Glue Laminated Timber (Glulam)</t>
  </si>
  <si>
    <t>1 m³ of glulam is extracted from the building diesel-driven machinery. Assumed diesel use of 1.4 L/t material based on a report from the Danish Environmental Protection Agency (2022) [1]. The glulam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1370 MJ/m³ glulam and electricity recovery of 678 MJ/m³ glulam from Danish industry EPD for glulam [2].</t>
  </si>
  <si>
    <t>Sawnwood, softwood, raw, dried (u=20%) {RER}| market for sawnwood, softwood, raw, dried (u=20%) | Cut-off, S</t>
  </si>
  <si>
    <t>EcoInvent database version: 3.12
Impact assessment method: ReCiPe2016 Midpoint (H)
Mass factor determined from Danish industry EPD for glulam MD-25108-EN [2]
Diesel density assumed to be 0.845 kg/L with an energy density of 42.7 MJ/kg.
EcoInvent process for avoided wood assumes density of 486 kg/m³, so volume has been scaled down to match the weight of the recycled wood.
[1] Miljøstyrelsen (2022): https://www2.mst.dk/Udgiv/publikationer/2022/02/978-87-7038-353-0.pdf
[2] MD-25108-EN: https://www.epddanmark.dk/media/gfhpo5gu/md-25108-en.pdf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</si>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</sst>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3" t="s">
        <v>26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1" t="s">
        <v>36</v>
      </c>
      <c r="C3" s="42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434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31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3" t="s">
        <v>37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6" t="s">
        <v>17</v>
      </c>
      <c r="C14" s="36"/>
      <c r="D14" s="36"/>
      <c r="E14" s="36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8" t="s">
        <v>28</v>
      </c>
      <c r="C15" s="38"/>
      <c r="D15" s="38"/>
      <c r="E15" s="38"/>
      <c r="F15" s="20">
        <f>B6*1.4/1000*0.845*42.7</f>
        <v>21.923119399999997</v>
      </c>
      <c r="G15" s="12" t="s">
        <v>23</v>
      </c>
    </row>
    <row r="16" spans="1:7" ht="45" customHeight="1" x14ac:dyDescent="0.25">
      <c r="A16" s="18" t="s">
        <v>9</v>
      </c>
      <c r="B16" s="37" t="s">
        <v>16</v>
      </c>
      <c r="C16" s="37"/>
      <c r="D16" s="37"/>
      <c r="E16" s="37"/>
      <c r="F16" s="22">
        <f>B6*100/1000</f>
        <v>43.4</v>
      </c>
      <c r="G16" s="19" t="s">
        <v>27</v>
      </c>
    </row>
    <row r="17" spans="1:7" ht="30.75" customHeight="1" x14ac:dyDescent="0.25">
      <c r="A17" s="26" t="s">
        <v>33</v>
      </c>
      <c r="B17" s="37" t="s">
        <v>30</v>
      </c>
      <c r="C17" s="37"/>
      <c r="D17" s="37"/>
      <c r="E17" s="37"/>
      <c r="F17" s="22">
        <f>B6*0.14</f>
        <v>60.760000000000005</v>
      </c>
      <c r="G17" s="19" t="s">
        <v>10</v>
      </c>
    </row>
    <row r="18" spans="1:7" ht="45.75" customHeight="1" x14ac:dyDescent="0.25">
      <c r="A18" s="18" t="s">
        <v>21</v>
      </c>
      <c r="B18" s="37" t="s">
        <v>22</v>
      </c>
      <c r="C18" s="37"/>
      <c r="D18" s="37"/>
      <c r="E18" s="37"/>
      <c r="F18" s="21">
        <f>-1370*0.14</f>
        <v>-191.8</v>
      </c>
      <c r="G18" s="19" t="s">
        <v>23</v>
      </c>
    </row>
    <row r="19" spans="1:7" ht="15.75" customHeight="1" x14ac:dyDescent="0.25">
      <c r="A19" s="24" t="s">
        <v>20</v>
      </c>
      <c r="B19" s="39" t="s">
        <v>19</v>
      </c>
      <c r="C19" s="39"/>
      <c r="D19" s="39"/>
      <c r="E19" s="39"/>
      <c r="F19" s="28">
        <f>-678*0.14</f>
        <v>-94.920000000000016</v>
      </c>
      <c r="G19" s="25" t="s">
        <v>23</v>
      </c>
    </row>
    <row r="20" spans="1:7" ht="31.5" customHeight="1" thickBot="1" x14ac:dyDescent="0.3">
      <c r="A20" s="7" t="s">
        <v>32</v>
      </c>
      <c r="B20" s="40" t="s">
        <v>38</v>
      </c>
      <c r="C20" s="40"/>
      <c r="D20" s="40"/>
      <c r="E20" s="40"/>
      <c r="F20" s="27">
        <f>-B6/486*0.86</f>
        <v>-0.76798353909465022</v>
      </c>
      <c r="G20" s="13" t="s">
        <v>34</v>
      </c>
    </row>
    <row r="21" spans="1:7" ht="19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35</v>
      </c>
      <c r="B22" s="2"/>
      <c r="C22" s="23" t="s">
        <v>29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8" t="s">
        <v>3</v>
      </c>
      <c r="B25" s="14" t="s">
        <v>14</v>
      </c>
      <c r="C25" s="14" t="s">
        <v>13</v>
      </c>
      <c r="D25" s="29" t="s">
        <v>40</v>
      </c>
      <c r="E25" s="29"/>
      <c r="F25" s="29" t="s">
        <v>41</v>
      </c>
      <c r="G25" s="30"/>
    </row>
    <row r="26" spans="1:7" x14ac:dyDescent="0.25">
      <c r="A26" s="11" t="s">
        <v>18</v>
      </c>
      <c r="B26" s="16">
        <v>2.25</v>
      </c>
      <c r="C26" s="16">
        <v>1.5800000000000002E-2</v>
      </c>
      <c r="D26" s="31">
        <v>3.62E-3</v>
      </c>
      <c r="E26" s="31"/>
      <c r="F26" s="31">
        <v>0.66</v>
      </c>
      <c r="G26" s="47"/>
    </row>
    <row r="27" spans="1:7" x14ac:dyDescent="0.25">
      <c r="A27" s="18" t="s">
        <v>9</v>
      </c>
      <c r="B27" s="15">
        <v>8.3000000000000007</v>
      </c>
      <c r="C27" s="15">
        <v>0.36899999999999999</v>
      </c>
      <c r="D27" s="32">
        <v>2.1899999999999999E-2</v>
      </c>
      <c r="E27" s="32"/>
      <c r="F27" s="32">
        <v>2.62</v>
      </c>
      <c r="G27" s="48"/>
    </row>
    <row r="28" spans="1:7" ht="30" x14ac:dyDescent="0.25">
      <c r="A28" s="26" t="s">
        <v>33</v>
      </c>
      <c r="B28" s="15">
        <v>0.95899999999999996</v>
      </c>
      <c r="C28" s="15">
        <v>1.5699999999999999E-2</v>
      </c>
      <c r="D28" s="32">
        <v>8.09E-3</v>
      </c>
      <c r="E28" s="32"/>
      <c r="F28" s="32">
        <v>0.19500000000000001</v>
      </c>
      <c r="G28" s="48"/>
    </row>
    <row r="29" spans="1:7" x14ac:dyDescent="0.25">
      <c r="A29" s="18" t="s">
        <v>21</v>
      </c>
      <c r="B29" s="15">
        <v>-14</v>
      </c>
      <c r="C29" s="15">
        <v>-0.81899999999999995</v>
      </c>
      <c r="D29" s="32">
        <v>-4.5399999999999998E-3</v>
      </c>
      <c r="E29" s="32"/>
      <c r="F29" s="32">
        <v>-3.05</v>
      </c>
      <c r="G29" s="48"/>
    </row>
    <row r="30" spans="1:7" x14ac:dyDescent="0.25">
      <c r="A30" s="18" t="s">
        <v>20</v>
      </c>
      <c r="B30" s="15">
        <v>-4.7</v>
      </c>
      <c r="C30" s="15">
        <v>-1.06</v>
      </c>
      <c r="D30" s="32">
        <v>-4.0899999999999999E-2</v>
      </c>
      <c r="E30" s="32"/>
      <c r="F30" s="32">
        <v>-1.1599999999999999</v>
      </c>
      <c r="G30" s="48"/>
    </row>
    <row r="31" spans="1:7" ht="15.75" thickBot="1" x14ac:dyDescent="0.3">
      <c r="A31" s="7" t="s">
        <v>32</v>
      </c>
      <c r="B31" s="15">
        <v>-48.1</v>
      </c>
      <c r="C31" s="15">
        <v>-488</v>
      </c>
      <c r="D31" s="32">
        <v>-0.18</v>
      </c>
      <c r="E31" s="32"/>
      <c r="F31" s="32">
        <v>-14.2</v>
      </c>
      <c r="G31" s="48"/>
    </row>
    <row r="32" spans="1:7" ht="15.75" thickBot="1" x14ac:dyDescent="0.3">
      <c r="A32" s="8" t="s">
        <v>15</v>
      </c>
      <c r="B32" s="17">
        <v>-55.3</v>
      </c>
      <c r="C32" s="17">
        <v>-489</v>
      </c>
      <c r="D32" s="46">
        <v>-0.192</v>
      </c>
      <c r="E32" s="46"/>
      <c r="F32" s="46">
        <v>-15</v>
      </c>
      <c r="G32" s="49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139.5" customHeight="1" thickBot="1" x14ac:dyDescent="0.3">
      <c r="A35" s="43" t="s">
        <v>39</v>
      </c>
      <c r="B35" s="44"/>
      <c r="C35" s="44"/>
      <c r="D35" s="44"/>
      <c r="E35" s="44"/>
      <c r="F35" s="44"/>
      <c r="G35" s="45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</sheetData>
  <mergeCells count="27">
    <mergeCell ref="B3:C3"/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2026-08-06T16:27:20Z</dcterms:modified>
</cp:coreProperties>
</file>