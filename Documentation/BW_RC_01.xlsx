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287FF92B-611D-4F77-BD6F-7BFBA5E1FCE9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B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5" i="1" l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<sst xmlns="http://schemas.openxmlformats.org/spreadsheetml/2006/main" count="42" uniqueCount="36">
  <si>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</si>
  <si>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</si>
  <si>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</si>
  <si>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</si>
  <si>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</si>
  <si>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</si>
  <si>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</si>
  <si>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</si>
  <si>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</si>
  <si>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</si>
  <si>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</si>
  <si>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</si>
  <si>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</si>
  <si>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</si>
  <si>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</si>
  <si>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</si>
  <si>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</si>
  <si>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</si>
  <si>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</si>
  <si>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</si>
  <si>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</si>
  <si>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</si>
  <si>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</si>
  <si>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</si>
  <si>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Brick Wall</t>
  </si>
  <si>
    <t>tkm</t>
  </si>
  <si>
    <t>Recycling (Road Fill)</t>
  </si>
  <si>
    <t>Crushing</t>
  </si>
  <si>
    <t>Rock crushing {RER}| rock crushing | Cut-off, S</t>
  </si>
  <si>
    <t>Avoided gravel</t>
  </si>
  <si>
    <t>Gravel, crushed {RoW}| market for gravel, crushed | Cut-off, S</t>
  </si>
  <si>
    <t>BW_RC_01 - Life Cycle Inventory</t>
  </si>
  <si>
    <t>1 m² of 108 mm thick brick wall (including mortar) is extracted from the building using diesel-driven machinery. Assumed diesel use of 1.4 L/t material based on a report from the Danish Environmental Protection Agency [1]. The brick and mortar are transported 100 km by truck to a facility in Denmark where it is crushed into rubble, which replaces gravel in road fill.</t>
  </si>
  <si>
    <t>EcoInvent database version: 3.12
Impact assessment method: ReCiPe2016 Midpoint (H)
Mass factor determined from BR18, appendix 2, table 7 ID #D1508, assumption of 0.084 m³ of bricks (1800 kg/m³) with 63 kg of mortar per m² wall. Rounded to 3 significant figures.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</si>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</sst>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31</v>
      </c>
      <c r="B1" s="2"/>
      <c r="C1" s="22" t="s">
        <v>23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24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f>0.084*1800+63</f>
        <v>214.20000000000002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26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0.5" customHeight="1" thickBot="1" x14ac:dyDescent="0.3">
      <c r="A11" s="36" t="s">
        <v>32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17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2" t="s">
        <v>19</v>
      </c>
      <c r="C15" s="42"/>
      <c r="D15" s="42"/>
      <c r="E15" s="42"/>
      <c r="F15" s="24">
        <f>B6*1.4/1000*0.845*42.7</f>
        <v>10.82012022</v>
      </c>
      <c r="G15" s="13" t="s">
        <v>20</v>
      </c>
    </row>
    <row r="16" spans="1:7" ht="45" customHeight="1" x14ac:dyDescent="0.25">
      <c r="A16" s="20" t="s">
        <v>9</v>
      </c>
      <c r="B16" s="40" t="s">
        <v>16</v>
      </c>
      <c r="C16" s="40"/>
      <c r="D16" s="40"/>
      <c r="E16" s="40"/>
      <c r="F16" s="25">
        <f>B6*100/1000</f>
        <v>21.42</v>
      </c>
      <c r="G16" s="21" t="s">
        <v>25</v>
      </c>
    </row>
    <row r="17" spans="1:7" x14ac:dyDescent="0.25">
      <c r="A17" s="27" t="s">
        <v>27</v>
      </c>
      <c r="B17" s="43" t="s">
        <v>28</v>
      </c>
      <c r="C17" s="43"/>
      <c r="D17" s="43"/>
      <c r="E17" s="43"/>
      <c r="F17" s="29">
        <f>B6</f>
        <v>214.20000000000002</v>
      </c>
      <c r="G17" s="28" t="s">
        <v>10</v>
      </c>
    </row>
    <row r="18" spans="1:7" ht="32.25" customHeight="1" thickBot="1" x14ac:dyDescent="0.3">
      <c r="A18" s="8" t="s">
        <v>29</v>
      </c>
      <c r="B18" s="41" t="s">
        <v>30</v>
      </c>
      <c r="C18" s="41"/>
      <c r="D18" s="41"/>
      <c r="E18" s="41"/>
      <c r="F18" s="26">
        <f>-B6</f>
        <v>-214.20000000000002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14</v>
      </c>
      <c r="C21" s="15" t="s">
        <v>13</v>
      </c>
      <c r="D21" s="32" t="s">
        <v>34</v>
      </c>
      <c r="E21" s="32"/>
      <c r="F21" s="32" t="s">
        <v>35</v>
      </c>
      <c r="G21" s="33"/>
    </row>
    <row r="22" spans="1:7" x14ac:dyDescent="0.25">
      <c r="A22" s="12" t="s">
        <v>18</v>
      </c>
      <c r="B22" s="17">
        <v>1.1100000000000001</v>
      </c>
      <c r="C22" s="17">
        <v>7.79E-3</v>
      </c>
      <c r="D22" s="34">
        <v>1.7899999999999999E-3</v>
      </c>
      <c r="E22" s="34"/>
      <c r="F22" s="34">
        <v>0.32500000000000001</v>
      </c>
      <c r="G22" s="46"/>
    </row>
    <row r="23" spans="1:7" x14ac:dyDescent="0.25">
      <c r="A23" s="20" t="s">
        <v>9</v>
      </c>
      <c r="B23" s="16">
        <v>4.09</v>
      </c>
      <c r="C23" s="16">
        <v>0.182</v>
      </c>
      <c r="D23" s="35">
        <v>1.0800000000000001E-2</v>
      </c>
      <c r="E23" s="35"/>
      <c r="F23" s="35">
        <v>1.29</v>
      </c>
      <c r="G23" s="47"/>
    </row>
    <row r="24" spans="1:7" x14ac:dyDescent="0.25">
      <c r="A24" s="27" t="s">
        <v>27</v>
      </c>
      <c r="B24" s="16">
        <v>5.7500000000000002E-2</v>
      </c>
      <c r="C24" s="16">
        <v>1.74E-3</v>
      </c>
      <c r="D24" s="35">
        <v>1.83E-4</v>
      </c>
      <c r="E24" s="35"/>
      <c r="F24" s="35">
        <v>1.5800000000000002E-2</v>
      </c>
      <c r="G24" s="47"/>
    </row>
    <row r="25" spans="1:7" ht="15.75" thickBot="1" x14ac:dyDescent="0.3">
      <c r="A25" s="8" t="s">
        <v>29</v>
      </c>
      <c r="B25" s="18">
        <v>-3.99</v>
      </c>
      <c r="C25" s="18">
        <v>-0.48699999999999999</v>
      </c>
      <c r="D25" s="44">
        <v>-1.8100000000000002E-2</v>
      </c>
      <c r="E25" s="44"/>
      <c r="F25" s="44">
        <v>-1.1100000000000001</v>
      </c>
      <c r="G25" s="48"/>
    </row>
    <row r="26" spans="1:7" ht="15.75" thickBot="1" x14ac:dyDescent="0.3">
      <c r="A26" s="9" t="s">
        <v>15</v>
      </c>
      <c r="B26" s="19">
        <v>1.26</v>
      </c>
      <c r="C26" s="19">
        <v>-0.29499999999999998</v>
      </c>
      <c r="D26" s="45">
        <v>-5.3400000000000001E-3</v>
      </c>
      <c r="E26" s="45"/>
      <c r="F26" s="45">
        <v>0.51600000000000001</v>
      </c>
      <c r="G26" s="49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09.5" customHeight="1" thickBot="1" x14ac:dyDescent="0.3">
      <c r="A29" s="36" t="s">
        <v>33</v>
      </c>
      <c r="B29" s="37"/>
      <c r="C29" s="37"/>
      <c r="D29" s="37"/>
      <c r="E29" s="37"/>
      <c r="F29" s="37"/>
      <c r="G29" s="38"/>
    </row>
  </sheetData>
  <mergeCells count="20"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2026-08-06T16:25:17Z</dcterms:modified>
</cp:coreProperties>
</file>