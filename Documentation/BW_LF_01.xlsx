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6D84901-F806-4B0B-BDFE-89DE2485339E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B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B6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<sst xmlns="http://schemas.openxmlformats.org/spreadsheetml/2006/main" count="38" uniqueCount="33">
  <si>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</si>
  <si>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</si>
  <si>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</si>
  <si>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</si>
  <si>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</si>
  <si>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</si>
  <si>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</si>
  <si>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</si>
  <si>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</si>
  <si>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</si>
  <si>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</si>
  <si>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</si>
  <si>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</si>
  <si>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</si>
  <si>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</si>
  <si>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</si>
  <si>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</si>
  <si>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</si>
  <si>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</si>
  <si>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</si>
  <si>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</si>
  <si>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</si>
  <si>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</si>
  <si>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</si>
  <si>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</si>
  <si>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BW_LF_01 - Life Cycle Inventory</t>
  </si>
  <si>
    <t>Brick Wall</t>
  </si>
  <si>
    <t>Inert waste, for final disposal {RoW}| treatment of inert waste, inert material landfill | Cut-off, S</t>
  </si>
  <si>
    <t>tkm</t>
  </si>
  <si>
    <t>1 m² of 108 mm thick brick wall (including mortar) is extracted from the building using diesel-driven machinery. Assumed diesel use of 1.4 L/t material based on a report from the Danish Environmental Protection Agency [1]. The brick and mortar are transported 50 km by truck to a municipal landfill site.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</si>
  <si>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</si>
  <si>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</si>
  <si>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#D1508, assumption of 0.084 m³ of bricks (1800 kg/m³) with 63 kg of mortar per m² wall. Rounded to 3 significant figures.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</si>
</sst>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4" sqref="A2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2" t="s">
        <v>24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f>0.084*1800+63</f>
        <v>214.20000000000002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7" t="s">
        <v>18</v>
      </c>
      <c r="C8" s="28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3" t="s">
        <v>29</v>
      </c>
      <c r="B11" s="34"/>
      <c r="C11" s="34"/>
      <c r="D11" s="34"/>
      <c r="E11" s="34"/>
      <c r="F11" s="34"/>
      <c r="G11" s="3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6" t="s">
        <v>17</v>
      </c>
      <c r="C14" s="36"/>
      <c r="D14" s="36"/>
      <c r="E14" s="36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39" t="s">
        <v>20</v>
      </c>
      <c r="C15" s="39"/>
      <c r="D15" s="39"/>
      <c r="E15" s="39"/>
      <c r="F15" s="24">
        <f>B6*1.4/1000*0.845*42.7</f>
        <v>10.82012022</v>
      </c>
      <c r="G15" s="13" t="s">
        <v>21</v>
      </c>
    </row>
    <row r="16" spans="1:7" ht="45" customHeight="1" x14ac:dyDescent="0.25">
      <c r="A16" s="20" t="s">
        <v>9</v>
      </c>
      <c r="B16" s="37" t="s">
        <v>16</v>
      </c>
      <c r="C16" s="37"/>
      <c r="D16" s="37"/>
      <c r="E16" s="37"/>
      <c r="F16" s="25">
        <f>B6*50/1000</f>
        <v>10.71</v>
      </c>
      <c r="G16" s="21" t="s">
        <v>28</v>
      </c>
    </row>
    <row r="17" spans="1:7" ht="32.25" customHeight="1" thickBot="1" x14ac:dyDescent="0.3">
      <c r="A17" s="8" t="s">
        <v>18</v>
      </c>
      <c r="B17" s="38" t="s">
        <v>27</v>
      </c>
      <c r="C17" s="38"/>
      <c r="D17" s="38"/>
      <c r="E17" s="38"/>
      <c r="F17" s="26">
        <f>B6</f>
        <v>214.20000000000002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29" t="s">
        <v>30</v>
      </c>
      <c r="E20" s="29"/>
      <c r="F20" s="29" t="s">
        <v>31</v>
      </c>
      <c r="G20" s="30"/>
    </row>
    <row r="21" spans="1:7" x14ac:dyDescent="0.25">
      <c r="A21" s="12" t="s">
        <v>19</v>
      </c>
      <c r="B21" s="17">
        <v>1.1100000000000001</v>
      </c>
      <c r="C21" s="17">
        <v>7.79E-3</v>
      </c>
      <c r="D21" s="31">
        <v>1.7899999999999999E-3</v>
      </c>
      <c r="E21" s="31"/>
      <c r="F21" s="31">
        <v>0.32500000000000001</v>
      </c>
      <c r="G21" s="42"/>
    </row>
    <row r="22" spans="1:7" x14ac:dyDescent="0.25">
      <c r="A22" s="20" t="s">
        <v>9</v>
      </c>
      <c r="B22" s="16">
        <v>2.0499999999999998</v>
      </c>
      <c r="C22" s="16">
        <v>9.0999999999999998E-2</v>
      </c>
      <c r="D22" s="32">
        <v>5.3899999999999998E-3</v>
      </c>
      <c r="E22" s="32"/>
      <c r="F22" s="32">
        <v>0.64500000000000002</v>
      </c>
      <c r="G22" s="43"/>
    </row>
    <row r="23" spans="1:7" ht="15.75" thickBot="1" x14ac:dyDescent="0.3">
      <c r="A23" s="8" t="s">
        <v>18</v>
      </c>
      <c r="B23" s="18">
        <v>1.39</v>
      </c>
      <c r="C23" s="18">
        <v>-7.6399999999999996E-2</v>
      </c>
      <c r="D23" s="40">
        <v>2.8999999999999998E-3</v>
      </c>
      <c r="E23" s="40"/>
      <c r="F23" s="40">
        <v>0.754</v>
      </c>
      <c r="G23" s="44"/>
    </row>
    <row r="24" spans="1:7" ht="15.75" thickBot="1" x14ac:dyDescent="0.3">
      <c r="A24" s="9" t="s">
        <v>15</v>
      </c>
      <c r="B24" s="19">
        <v>4.54</v>
      </c>
      <c r="C24" s="19">
        <v>2.24E-2</v>
      </c>
      <c r="D24" s="41">
        <v>1.01E-2</v>
      </c>
      <c r="E24" s="41"/>
      <c r="F24" s="41">
        <v>1.72</v>
      </c>
      <c r="G24" s="45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3" t="s">
        <v>32</v>
      </c>
      <c r="B27" s="34"/>
      <c r="C27" s="34"/>
      <c r="D27" s="34"/>
      <c r="E27" s="34"/>
      <c r="F27" s="34"/>
      <c r="G27" s="35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2026-08-06T16:22:39Z</dcterms:modified>
</cp:coreProperties>
</file>