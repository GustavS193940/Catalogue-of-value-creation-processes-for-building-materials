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6538AF72-80BC-49CD-B545-7A26B0034B64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SSH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7" i="1" l="1"/>
  <c r="F18" i="1"/>
</calcChain>
</file>

<file path=xl/sharedStrings.xml><?xml version="1.0" encoding="utf-8"?>
<sst xmlns="http://schemas.openxmlformats.org/spreadsheetml/2006/main" count="42" uniqueCount="36">
  <si>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</si>
  <si>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</si>
  <si>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</si>
  <si>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</si>
  <si>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</si>
  <si>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</si>
  <si>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</si>
  <si>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</si>
  <si>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</si>
  <si>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</si>
  <si>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</si>
  <si>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</si>
  <si>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</si>
  <si>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</si>
  <si>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</si>
  <si>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</si>
  <si>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</si>
  <si>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Disassembly</t>
  </si>
  <si>
    <t>Page 1 of 1</t>
  </si>
  <si>
    <t>Transport, freight, lorry, &gt;32 metric ton, diesel, EURO 6 {RER}| market for transport, freight, lorry, &gt;32 metric ton, diesel, EURO 6 | Cut-off, S</t>
  </si>
  <si>
    <t>Avoided steel</t>
  </si>
  <si>
    <t>Melting</t>
  </si>
  <si>
    <t>Recycling</t>
  </si>
  <si>
    <t>Electricity, low voltage {DK}| market for | Cut-off, S</t>
  </si>
  <si>
    <t>Steel, unalloyed {GLO}| market for steel, unalloyed | Cut-off, S</t>
  </si>
  <si>
    <t>Energy and auxilliary inputs, metal working machine {RER}| energy and auxilliary, metal working machine, with process heat from natural gas | Cut-off, S</t>
  </si>
  <si>
    <t>SSH_RC_01 - Life Cycle Inventory</t>
  </si>
  <si>
    <t>Steel Sheets</t>
  </si>
  <si>
    <t>1 m²</t>
  </si>
  <si>
    <t>kg/m²</t>
  </si>
  <si>
    <t>kJ</t>
  </si>
  <si>
    <t>tkm</t>
  </si>
  <si>
    <t>1 m² steel sheet is extracted from the building using electric tools. Assumed electricity use of 0.989 kJ/kg steel based on reference calculation [1]. The steel sheet is transported 1000 km by truck to a facility in Europe where it is melted, replacing virgin steel in the production of new steel.</t>
  </si>
  <si>
    <t>Mineral Resource Scarcity 
[kg CU eq]</t>
  </si>
  <si>
    <t>Fossil Resource Scarcity 
[kg oil eq]</t>
  </si>
  <si>
    <t>EcoInvent database version: 3.12
Impact assessment method: ReCiPe2016 Midpoint (H)
Mass factor determined from BR18, appendix 2, table 7 ID #G0768.
[1] Reference calculation: https://github.com/GustavS193940/Catalogue-of-value-creation-processes-for-building-materials/blob/b19f72869c2b249eae2a71bcbf9176dfd2070a8f/Electricity%20Reference/README.md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</si>
</sst>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2" fontId="0" fillId="3" borderId="11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vertical="center"/>
    </xf>
    <xf numFmtId="2" fontId="0" fillId="3" borderId="16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9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26</v>
      </c>
      <c r="B1" s="2"/>
      <c r="C1" s="22" t="s">
        <v>18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27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28</v>
      </c>
      <c r="C5" s="4"/>
      <c r="D5" s="4"/>
      <c r="E5" s="4"/>
      <c r="F5" s="4"/>
      <c r="G5" s="4"/>
    </row>
    <row r="6" spans="1:7" x14ac:dyDescent="0.25">
      <c r="A6" s="5" t="s">
        <v>2</v>
      </c>
      <c r="B6" s="27">
        <v>5.72</v>
      </c>
      <c r="C6" s="4" t="s">
        <v>29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22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8.75" customHeight="1" thickBot="1" x14ac:dyDescent="0.3">
      <c r="A11" s="36" t="s">
        <v>32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9" t="s">
        <v>16</v>
      </c>
      <c r="C14" s="39"/>
      <c r="D14" s="39"/>
      <c r="E14" s="39"/>
      <c r="F14" s="10" t="s">
        <v>8</v>
      </c>
      <c r="G14" s="11" t="s">
        <v>1</v>
      </c>
    </row>
    <row r="15" spans="1:7" x14ac:dyDescent="0.25">
      <c r="A15" s="12" t="s">
        <v>17</v>
      </c>
      <c r="B15" s="42" t="s">
        <v>23</v>
      </c>
      <c r="C15" s="42"/>
      <c r="D15" s="42"/>
      <c r="E15" s="42"/>
      <c r="F15" s="28">
        <f>B6*0.989</f>
        <v>5.6570799999999997</v>
      </c>
      <c r="G15" s="13" t="s">
        <v>30</v>
      </c>
    </row>
    <row r="16" spans="1:7" ht="45" customHeight="1" x14ac:dyDescent="0.25">
      <c r="A16" s="20" t="s">
        <v>9</v>
      </c>
      <c r="B16" s="40" t="s">
        <v>19</v>
      </c>
      <c r="C16" s="40"/>
      <c r="D16" s="40"/>
      <c r="E16" s="40"/>
      <c r="F16" s="29">
        <f>B6*1000/1000</f>
        <v>5.72</v>
      </c>
      <c r="G16" s="21" t="s">
        <v>31</v>
      </c>
    </row>
    <row r="17" spans="1:7" ht="46.5" customHeight="1" x14ac:dyDescent="0.25">
      <c r="A17" s="24" t="s">
        <v>21</v>
      </c>
      <c r="B17" s="43" t="s">
        <v>25</v>
      </c>
      <c r="C17" s="43"/>
      <c r="D17" s="43"/>
      <c r="E17" s="43"/>
      <c r="F17" s="26">
        <f>B6</f>
        <v>5.72</v>
      </c>
      <c r="G17" s="25" t="s">
        <v>10</v>
      </c>
    </row>
    <row r="18" spans="1:7" ht="30.75" customHeight="1" thickBot="1" x14ac:dyDescent="0.3">
      <c r="A18" s="8" t="s">
        <v>20</v>
      </c>
      <c r="B18" s="41" t="s">
        <v>24</v>
      </c>
      <c r="C18" s="41"/>
      <c r="D18" s="41"/>
      <c r="E18" s="41"/>
      <c r="F18" s="23">
        <f>-B6</f>
        <v>-5.72</v>
      </c>
      <c r="G18" s="14" t="s">
        <v>10</v>
      </c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5.75" thickBot="1" x14ac:dyDescent="0.3">
      <c r="A20" s="5" t="s">
        <v>11</v>
      </c>
      <c r="B20" s="4"/>
      <c r="C20" s="4"/>
      <c r="D20" s="4"/>
      <c r="E20" s="4"/>
      <c r="F20" s="4"/>
      <c r="G20" s="4"/>
    </row>
    <row r="21" spans="1:7" ht="47.25" thickBot="1" x14ac:dyDescent="0.4">
      <c r="A21" s="9" t="s">
        <v>3</v>
      </c>
      <c r="B21" s="15" t="s">
        <v>14</v>
      </c>
      <c r="C21" s="15" t="s">
        <v>13</v>
      </c>
      <c r="D21" s="32" t="s">
        <v>33</v>
      </c>
      <c r="E21" s="32"/>
      <c r="F21" s="32" t="s">
        <v>34</v>
      </c>
      <c r="G21" s="33"/>
    </row>
    <row r="22" spans="1:7" x14ac:dyDescent="0.25">
      <c r="A22" s="12" t="s">
        <v>17</v>
      </c>
      <c r="B22" s="17">
        <v>2.7999999999999998E-4</v>
      </c>
      <c r="C22" s="17">
        <v>6.3399999999999996E-5</v>
      </c>
      <c r="D22" s="34">
        <v>2.4399999999999999E-6</v>
      </c>
      <c r="E22" s="34"/>
      <c r="F22" s="34">
        <v>6.9200000000000002E-5</v>
      </c>
      <c r="G22" s="46"/>
    </row>
    <row r="23" spans="1:7" x14ac:dyDescent="0.25">
      <c r="A23" s="20" t="s">
        <v>9</v>
      </c>
      <c r="B23" s="16">
        <v>0.59699999999999998</v>
      </c>
      <c r="C23" s="16">
        <v>4.5600000000000002E-2</v>
      </c>
      <c r="D23" s="35">
        <v>1.5E-3</v>
      </c>
      <c r="E23" s="35"/>
      <c r="F23" s="35">
        <v>0.20100000000000001</v>
      </c>
      <c r="G23" s="47"/>
    </row>
    <row r="24" spans="1:7" x14ac:dyDescent="0.25">
      <c r="A24" s="20" t="s">
        <v>21</v>
      </c>
      <c r="B24" s="16">
        <v>4.32</v>
      </c>
      <c r="C24" s="16">
        <v>9.2100000000000001E-2</v>
      </c>
      <c r="D24" s="35">
        <v>1.14E-2</v>
      </c>
      <c r="E24" s="35"/>
      <c r="F24" s="35">
        <v>1.41</v>
      </c>
      <c r="G24" s="47"/>
    </row>
    <row r="25" spans="1:7" ht="15.75" thickBot="1" x14ac:dyDescent="0.3">
      <c r="A25" s="8" t="s">
        <v>20</v>
      </c>
      <c r="B25" s="18">
        <v>-10.7</v>
      </c>
      <c r="C25" s="18">
        <v>-0.22600000000000001</v>
      </c>
      <c r="D25" s="44">
        <v>-0.371</v>
      </c>
      <c r="E25" s="44"/>
      <c r="F25" s="44">
        <v>-2.41</v>
      </c>
      <c r="G25" s="48"/>
    </row>
    <row r="26" spans="1:7" ht="15.75" thickBot="1" x14ac:dyDescent="0.3">
      <c r="A26" s="9" t="s">
        <v>15</v>
      </c>
      <c r="B26" s="19">
        <v>-5.83</v>
      </c>
      <c r="C26" s="19">
        <v>-8.8400000000000006E-2</v>
      </c>
      <c r="D26" s="45">
        <v>-0.35799999999999998</v>
      </c>
      <c r="E26" s="45"/>
      <c r="F26" s="45">
        <v>-0.79600000000000004</v>
      </c>
      <c r="G26" s="49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ht="15.75" thickBot="1" x14ac:dyDescent="0.3">
      <c r="A28" s="5" t="s">
        <v>12</v>
      </c>
      <c r="B28" s="4"/>
      <c r="C28" s="4"/>
      <c r="D28" s="4"/>
      <c r="E28" s="4"/>
      <c r="F28" s="4"/>
      <c r="G28" s="4"/>
    </row>
    <row r="29" spans="1:7" ht="114.75" customHeight="1" thickBot="1" x14ac:dyDescent="0.3">
      <c r="A29" s="36" t="s">
        <v>35</v>
      </c>
      <c r="B29" s="37"/>
      <c r="C29" s="37"/>
      <c r="D29" s="37"/>
      <c r="E29" s="37"/>
      <c r="F29" s="37"/>
      <c r="G29" s="38"/>
    </row>
  </sheetData>
  <mergeCells count="20">
    <mergeCell ref="A29:G29"/>
    <mergeCell ref="D25:E25"/>
    <mergeCell ref="D26:E26"/>
    <mergeCell ref="F22:G22"/>
    <mergeCell ref="F23:G23"/>
    <mergeCell ref="F25:G25"/>
    <mergeCell ref="F26:G26"/>
    <mergeCell ref="D24:E24"/>
    <mergeCell ref="F24:G24"/>
    <mergeCell ref="B8:C8"/>
    <mergeCell ref="D21:E21"/>
    <mergeCell ref="F21:G21"/>
    <mergeCell ref="D22:E22"/>
    <mergeCell ref="D23:E23"/>
    <mergeCell ref="A11:G11"/>
    <mergeCell ref="B14:E14"/>
    <mergeCell ref="B16:E16"/>
    <mergeCell ref="B18:E18"/>
    <mergeCell ref="B15:E15"/>
    <mergeCell ref="B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SSH_RC_01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2026-08-06T16:39:27Z</dcterms:modified>
</cp:coreProperties>
</file>