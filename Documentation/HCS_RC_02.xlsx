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244CB180-F1EA-4EB9-AB6B-5F40A08C33AE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HCS_RC_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 l="1"/>
  <c r="F15" i="1" l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<sst xmlns="http://schemas.openxmlformats.org/spreadsheetml/2006/main" count="56" uniqueCount="43">
  <si>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</si>
  <si>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</si>
  <si>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</si>
  <si>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</si>
  <si>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</si>
  <si>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</si>
  <si>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</si>
  <si>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</si>
  <si>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</si>
  <si>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</si>
  <si>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</si>
  <si>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</si>
  <si>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</si>
  <si>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</si>
  <si>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</si>
  <si>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</si>
  <si>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</si>
  <si>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</si>
  <si>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</si>
  <si>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</si>
  <si>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</si>
  <si>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tkm</t>
  </si>
  <si>
    <t>1 m³</t>
  </si>
  <si>
    <t>kg/m³</t>
  </si>
  <si>
    <t>Crushing</t>
  </si>
  <si>
    <t>Rock crushing {RER}| rock crushing | Cut-off, S</t>
  </si>
  <si>
    <t>Avoided gravel</t>
  </si>
  <si>
    <t>Gravel, crushed {RoW}| market for gravel, crushed | Cut-off, S</t>
  </si>
  <si>
    <t>Transport, freight, lorry, &gt;32 metric ton, diesel, EURO 6 {RER}| market for transport, freight, lorry, &gt;32 metric ton, diesel, EURO 6 | Cut-off, S</t>
  </si>
  <si>
    <t>Energy and auxilliary inputs, metal working machine {RER}| energy and auxilliary, metal working machine, with process heat from natural gas | Cut-off, S</t>
  </si>
  <si>
    <t>Avoided steel</t>
  </si>
  <si>
    <t>Steel, unalloyed {GLO}| market for steel, unalloyed | Cut-off, S</t>
  </si>
  <si>
    <t>Transportation of reinforcement</t>
  </si>
  <si>
    <t>Melting of reinforcement</t>
  </si>
  <si>
    <t>Page 2 of 2</t>
  </si>
  <si>
    <t>Page 1 of 2</t>
  </si>
  <si>
    <t>Hollow Core Slab</t>
  </si>
  <si>
    <t>1 m³ hollow core slab is extracted from the building using diesel-driven machinery. Assumed diesel use of 1.4 L/t material based on a report from the Danish Environmental Protection Agency [1]. The core slab is transported 100 km by truck to a facility in Denmark where it is crushed into rubble, which replaces gravel in road fill. The reinforcement steel (making up approximately 2% of the total weight) is then transported another 1000 km by truck to a facility in Europe where it is melted, replacing virgin steel in the production of new steel.</t>
  </si>
  <si>
    <t>HCS_RC_02 - Life Cycle Inventory</t>
  </si>
  <si>
    <t>Recycling (Road Fill)</t>
  </si>
  <si>
    <t>Mineral Resource Scarcity 
[kg CU eq]</t>
  </si>
  <si>
    <t>Fossil Resource Scarcity 
[kg oil eq]</t>
  </si>
  <si>
    <t>EcoInvent database version: 3.12
Impact assessment method: ReCiPe2016 Midpoint (H)
Mass factor determined from Danish industry EPD for hollow core slabs MD-20017-DA [2] (average weight per m³, includes holes)
Diesel density assumed to be 0.845 kg/L with an energy density of 42.7 MJ/kg.
EcoInvent process for avoided concrete element assumes density of 2438 kg/m³, so volume has been scaled down to match the weight of the reused element.
[1] Miljøstyrelsen: https://www2.mst.dk/Udgiv/publikationer/2022/02/978-87-7038-353-0.pdf
[2] MD-20017-DA: https://www.epddanmark.dk/media/ksolk4dz/md-20017-da_rev2-betonelement-foreningen.pdf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</si>
</sst>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164" fontId="0" fillId="3" borderId="10" xfId="0" applyNumberFormat="1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5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38</v>
      </c>
      <c r="B1" s="2"/>
      <c r="C1" s="21" t="s">
        <v>35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9" t="s">
        <v>36</v>
      </c>
      <c r="C3" s="40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22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v>1471</v>
      </c>
      <c r="C6" s="4" t="s">
        <v>23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50" t="s">
        <v>39</v>
      </c>
      <c r="C8" s="5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7.25" customHeight="1" thickBot="1" x14ac:dyDescent="0.3">
      <c r="A11" s="41" t="s">
        <v>37</v>
      </c>
      <c r="B11" s="42"/>
      <c r="C11" s="42"/>
      <c r="D11" s="42"/>
      <c r="E11" s="42"/>
      <c r="F11" s="42"/>
      <c r="G11" s="43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54" t="s">
        <v>17</v>
      </c>
      <c r="C14" s="54"/>
      <c r="D14" s="54"/>
      <c r="E14" s="54"/>
      <c r="F14" s="9" t="s">
        <v>8</v>
      </c>
      <c r="G14" s="10" t="s">
        <v>1</v>
      </c>
    </row>
    <row r="15" spans="1:7" ht="32.25" customHeight="1" x14ac:dyDescent="0.25">
      <c r="A15" s="11" t="s">
        <v>18</v>
      </c>
      <c r="B15" s="35" t="s">
        <v>19</v>
      </c>
      <c r="C15" s="35"/>
      <c r="D15" s="35"/>
      <c r="E15" s="35"/>
      <c r="F15" s="32">
        <f>B6*1.4/1000*0.845*42.7</f>
        <v>74.306241100000008</v>
      </c>
      <c r="G15" s="12" t="s">
        <v>20</v>
      </c>
    </row>
    <row r="16" spans="1:7" ht="45" customHeight="1" x14ac:dyDescent="0.25">
      <c r="A16" s="19" t="s">
        <v>9</v>
      </c>
      <c r="B16" s="38" t="s">
        <v>16</v>
      </c>
      <c r="C16" s="38"/>
      <c r="D16" s="38"/>
      <c r="E16" s="38"/>
      <c r="F16" s="24">
        <f>B6*100/1000</f>
        <v>147.1</v>
      </c>
      <c r="G16" s="20" t="s">
        <v>21</v>
      </c>
    </row>
    <row r="17" spans="1:7" x14ac:dyDescent="0.25">
      <c r="A17" s="25" t="s">
        <v>24</v>
      </c>
      <c r="B17" s="36" t="s">
        <v>25</v>
      </c>
      <c r="C17" s="36"/>
      <c r="D17" s="36"/>
      <c r="E17" s="36"/>
      <c r="F17" s="26">
        <f>B6</f>
        <v>1471</v>
      </c>
      <c r="G17" s="27" t="s">
        <v>10</v>
      </c>
    </row>
    <row r="18" spans="1:7" ht="45" customHeight="1" x14ac:dyDescent="0.25">
      <c r="A18" s="29" t="s">
        <v>32</v>
      </c>
      <c r="B18" s="38" t="s">
        <v>28</v>
      </c>
      <c r="C18" s="38"/>
      <c r="D18" s="38"/>
      <c r="E18" s="38"/>
      <c r="F18" s="28">
        <f>B6*0.02*1000/1000</f>
        <v>29.42</v>
      </c>
      <c r="G18" s="20" t="s">
        <v>21</v>
      </c>
    </row>
    <row r="19" spans="1:7" ht="46.5" customHeight="1" x14ac:dyDescent="0.25">
      <c r="A19" s="30" t="s">
        <v>33</v>
      </c>
      <c r="B19" s="36" t="s">
        <v>29</v>
      </c>
      <c r="C19" s="36"/>
      <c r="D19" s="36"/>
      <c r="E19" s="36"/>
      <c r="F19" s="31">
        <f>B6*0.02</f>
        <v>29.42</v>
      </c>
      <c r="G19" s="27" t="s">
        <v>10</v>
      </c>
    </row>
    <row r="20" spans="1:7" ht="30.75" customHeight="1" x14ac:dyDescent="0.25">
      <c r="A20" s="25" t="s">
        <v>30</v>
      </c>
      <c r="B20" s="36" t="s">
        <v>31</v>
      </c>
      <c r="C20" s="36"/>
      <c r="D20" s="36"/>
      <c r="E20" s="36"/>
      <c r="F20" s="31">
        <f>-B6*0.02</f>
        <v>-29.42</v>
      </c>
      <c r="G20" s="27" t="s">
        <v>10</v>
      </c>
    </row>
    <row r="21" spans="1:7" ht="32.25" customHeight="1" thickBot="1" x14ac:dyDescent="0.3">
      <c r="A21" s="7" t="s">
        <v>26</v>
      </c>
      <c r="B21" s="37" t="s">
        <v>27</v>
      </c>
      <c r="C21" s="37"/>
      <c r="D21" s="37"/>
      <c r="E21" s="37"/>
      <c r="F21" s="23">
        <f>-B6*0.98</f>
        <v>-1441.58</v>
      </c>
      <c r="G21" s="13" t="s">
        <v>10</v>
      </c>
    </row>
    <row r="22" spans="1:7" ht="153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38</v>
      </c>
      <c r="B23" s="2"/>
      <c r="C23" s="21" t="s">
        <v>34</v>
      </c>
      <c r="D23" s="2"/>
      <c r="E23" s="2"/>
      <c r="F23" s="2"/>
      <c r="G23" s="3">
        <v>46194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8" t="s">
        <v>3</v>
      </c>
      <c r="B26" s="14" t="s">
        <v>14</v>
      </c>
      <c r="C26" s="14" t="s">
        <v>13</v>
      </c>
      <c r="D26" s="52" t="s">
        <v>40</v>
      </c>
      <c r="E26" s="52"/>
      <c r="F26" s="52" t="s">
        <v>41</v>
      </c>
      <c r="G26" s="53"/>
    </row>
    <row r="27" spans="1:7" x14ac:dyDescent="0.25">
      <c r="A27" s="11" t="s">
        <v>18</v>
      </c>
      <c r="B27" s="16">
        <v>10.1</v>
      </c>
      <c r="C27" s="16">
        <v>0.89300000000000002</v>
      </c>
      <c r="D27" s="46">
        <v>5.6599999999999998E-2</v>
      </c>
      <c r="E27" s="46"/>
      <c r="F27" s="46">
        <v>2.82</v>
      </c>
      <c r="G27" s="47"/>
    </row>
    <row r="28" spans="1:7" x14ac:dyDescent="0.25">
      <c r="A28" s="19" t="s">
        <v>9</v>
      </c>
      <c r="B28" s="15">
        <v>28.1</v>
      </c>
      <c r="C28" s="15">
        <v>1.25</v>
      </c>
      <c r="D28" s="33">
        <v>7.4099999999999999E-2</v>
      </c>
      <c r="E28" s="33"/>
      <c r="F28" s="33">
        <v>8.86</v>
      </c>
      <c r="G28" s="34"/>
    </row>
    <row r="29" spans="1:7" x14ac:dyDescent="0.25">
      <c r="A29" s="25" t="s">
        <v>24</v>
      </c>
      <c r="B29" s="15">
        <v>0.39500000000000002</v>
      </c>
      <c r="C29" s="15">
        <v>1.1900000000000001E-2</v>
      </c>
      <c r="D29" s="33">
        <v>1.2600000000000001E-3</v>
      </c>
      <c r="E29" s="33"/>
      <c r="F29" s="33">
        <v>0.108</v>
      </c>
      <c r="G29" s="34"/>
    </row>
    <row r="30" spans="1:7" ht="30" x14ac:dyDescent="0.25">
      <c r="A30" s="29" t="s">
        <v>32</v>
      </c>
      <c r="B30" s="15">
        <v>3.07</v>
      </c>
      <c r="C30" s="15">
        <v>0.23400000000000001</v>
      </c>
      <c r="D30" s="33">
        <v>7.7299999999999999E-3</v>
      </c>
      <c r="E30" s="33"/>
      <c r="F30" s="33">
        <v>1.03</v>
      </c>
      <c r="G30" s="34"/>
    </row>
    <row r="31" spans="1:7" ht="30" x14ac:dyDescent="0.25">
      <c r="A31" s="30" t="s">
        <v>33</v>
      </c>
      <c r="B31" s="15">
        <v>22.2</v>
      </c>
      <c r="C31" s="15">
        <v>0.47299999999999998</v>
      </c>
      <c r="D31" s="33">
        <v>5.8400000000000001E-2</v>
      </c>
      <c r="E31" s="33"/>
      <c r="F31" s="33">
        <v>7.26</v>
      </c>
      <c r="G31" s="34"/>
    </row>
    <row r="32" spans="1:7" x14ac:dyDescent="0.25">
      <c r="A32" s="25" t="s">
        <v>30</v>
      </c>
      <c r="B32" s="15">
        <v>-55.2</v>
      </c>
      <c r="C32" s="15">
        <v>-1.1599999999999999</v>
      </c>
      <c r="D32" s="33">
        <v>-1.91</v>
      </c>
      <c r="E32" s="33"/>
      <c r="F32" s="33">
        <v>-12.4</v>
      </c>
      <c r="G32" s="34"/>
    </row>
    <row r="33" spans="1:7" ht="15.75" thickBot="1" x14ac:dyDescent="0.3">
      <c r="A33" s="7" t="s">
        <v>26</v>
      </c>
      <c r="B33" s="17">
        <v>-26.9</v>
      </c>
      <c r="C33" s="17">
        <v>-3.28</v>
      </c>
      <c r="D33" s="44">
        <v>-0.122</v>
      </c>
      <c r="E33" s="44"/>
      <c r="F33" s="44">
        <v>-7.51</v>
      </c>
      <c r="G33" s="48"/>
    </row>
    <row r="34" spans="1:7" ht="15.75" thickBot="1" x14ac:dyDescent="0.3">
      <c r="A34" s="8" t="s">
        <v>15</v>
      </c>
      <c r="B34" s="18">
        <v>-18.2</v>
      </c>
      <c r="C34" s="18">
        <v>-1.58</v>
      </c>
      <c r="D34" s="45">
        <v>-1.83</v>
      </c>
      <c r="E34" s="45"/>
      <c r="F34" s="45">
        <v>0.17699999999999999</v>
      </c>
      <c r="G34" s="49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69.5" customHeight="1" thickBot="1" x14ac:dyDescent="0.3">
      <c r="A37" s="41" t="s">
        <v>42</v>
      </c>
      <c r="B37" s="42"/>
      <c r="C37" s="42"/>
      <c r="D37" s="42"/>
      <c r="E37" s="42"/>
      <c r="F37" s="42"/>
      <c r="G37" s="43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</sheetData>
  <mergeCells count="30">
    <mergeCell ref="B3:C3"/>
    <mergeCell ref="A37:G37"/>
    <mergeCell ref="D33:E33"/>
    <mergeCell ref="D34:E34"/>
    <mergeCell ref="F27:G27"/>
    <mergeCell ref="F28:G28"/>
    <mergeCell ref="F33:G33"/>
    <mergeCell ref="F34:G34"/>
    <mergeCell ref="B8:C8"/>
    <mergeCell ref="D26:E26"/>
    <mergeCell ref="F26:G26"/>
    <mergeCell ref="D27:E27"/>
    <mergeCell ref="D28:E28"/>
    <mergeCell ref="A11:G11"/>
    <mergeCell ref="B14:E14"/>
    <mergeCell ref="B16:E16"/>
    <mergeCell ref="F29:G29"/>
    <mergeCell ref="B15:E15"/>
    <mergeCell ref="B17:E17"/>
    <mergeCell ref="B21:E21"/>
    <mergeCell ref="D29:E29"/>
    <mergeCell ref="B18:E18"/>
    <mergeCell ref="B19:E19"/>
    <mergeCell ref="B20:E20"/>
    <mergeCell ref="D30:E30"/>
    <mergeCell ref="F30:G30"/>
    <mergeCell ref="D31:E31"/>
    <mergeCell ref="F31:G31"/>
    <mergeCell ref="D32:E32"/>
    <mergeCell ref="F32:G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HCS_RC_02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2026-08-06T16:20:12Z</dcterms:modified>
</cp:coreProperties>
</file>