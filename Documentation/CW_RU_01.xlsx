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DC200380-B456-4C38-9BA8-625F441765EE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CW_RU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  <c r="F17" i="1"/>
  <c r="F16" i="1" l="1"/>
  <c r="F15" i="1"/>
</calcChain>
</file>

<file path=xl/sharedStrings.xml><?xml version="1.0" encoding="utf-8"?>
<sst xmlns="http://schemas.openxmlformats.org/spreadsheetml/2006/main" count="56" uniqueCount="43">
  <si>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</si>
  <si>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</si>
  <si>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</si>
  <si>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</si>
  <si>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</si>
  <si>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</si>
  <si>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</si>
  <si>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</si>
  <si>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</si>
  <si>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</si>
  <si>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</si>
  <si>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</si>
  <si>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</si>
  <si>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</si>
  <si>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</si>
  <si>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</si>
  <si>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</si>
  <si>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</si>
  <si>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</si>
  <si>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</si>
  <si>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</si>
  <si>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</si>
  <si>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</si>
  <si>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</si>
  <si>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Construction Wood</t>
  </si>
  <si>
    <t>1 m³</t>
  </si>
  <si>
    <t>kg/m³</t>
  </si>
  <si>
    <t>Page 1 of 2</t>
  </si>
  <si>
    <t>tkm</t>
  </si>
  <si>
    <t>Diesel, burned in building machine {GLO}| market for diesel, burned in building machine | Cut-off, S</t>
  </si>
  <si>
    <t>Page 2 of 2</t>
  </si>
  <si>
    <t>Waste wood, untreated {GLO}| treatment of waste wood, untreated, municipal incineration | Cut-off, S</t>
  </si>
  <si>
    <t>Avoided wood</t>
  </si>
  <si>
    <t>Incineration of residual</t>
  </si>
  <si>
    <t>m³</t>
  </si>
  <si>
    <t>CW_RU_01 - Life Cycle Inventory</t>
  </si>
  <si>
    <t>Reuse</t>
  </si>
  <si>
    <t>Transportation of residual</t>
  </si>
  <si>
    <t>Structural timber {RER}| market for structural timber | Cut-off, S</t>
  </si>
  <si>
    <t>1 m³ of construction wood is extracted from the building diesel-driven machinery. Assumed diesel use of 1.4 L/t material based on a report from the Danish Environmental Protection Agency (2022) [1]. The construction wood is transported 100 km by truck to a facility in Denmark where it is reused. Assumed 80% of construction wood is reusable based on an LCA report from the GENTRÆ project (2020) [2]. The remaining 20% is transported another 50 km by truck to a municipal incineration plant where it is incinerated for energy recovery. Heat recovery of 1430 MJ/m³ construction wood and electricity recovery of 712 MJ/m³ construction wood from Danish industry EPD for construction wood [3].</t>
  </si>
  <si>
    <t>EcoInvent database version: 3.12
Impact assessment method: ReCiPe2016 Midpoint (H)
Mass factor determined from Danish industry EPD for construction wood MD-25104-EN [2]
Diesel density assumed to be 0.845 kg/L with an energy density of 42.7 MJ/kg.
EcoInvent process for avoided wood assumes density of 436 kg/m³, so volume has been scaled up to match the weight of the reused wood.
[1] Miljøstyrelsen (2022): https://www2.mst.dk/Udgiv/publikationer/2022/02/978-87-7038-353-0.pdf
[2] GENTRÆ LCA Report (2020): https://tilbudprof.stark.dk/gentrae/lga-golder-associates/?page=1
[3] MD-25104-EN: https://www.epddanmark.dk/media/y1wfvthh/md-25104-en.pdf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</si>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</sst>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3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164" fontId="0" fillId="3" borderId="9" xfId="0" applyNumberFormat="1" applyFill="1" applyBorder="1" applyAlignment="1">
      <alignment vertical="center"/>
    </xf>
    <xf numFmtId="1" fontId="0" fillId="3" borderId="14" xfId="0" applyNumberFormat="1" applyFill="1" applyBorder="1" applyAlignment="1">
      <alignment vertical="center"/>
    </xf>
    <xf numFmtId="164" fontId="0" fillId="3" borderId="14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6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1" fontId="0" fillId="3" borderId="11" xfId="0" applyNumberFormat="1" applyFill="1" applyBorder="1" applyAlignment="1">
      <alignment vertical="center"/>
    </xf>
    <xf numFmtId="0" fontId="0" fillId="3" borderId="13" xfId="0" applyFill="1" applyBorder="1" applyAlignment="1">
      <alignment vertical="center" wrapText="1"/>
    </xf>
    <xf numFmtId="165" fontId="0" fillId="3" borderId="1" xfId="0" applyNumberFormat="1" applyFill="1" applyBorder="1" applyAlignment="1">
      <alignment vertical="center"/>
    </xf>
    <xf numFmtId="2" fontId="0" fillId="3" borderId="14" xfId="0" applyNumberFormat="1" applyFill="1" applyBorder="1" applyAlignment="1">
      <alignment vertical="center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11" fontId="0" fillId="3" borderId="11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4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56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35</v>
      </c>
      <c r="B1" s="2"/>
      <c r="C1" s="24" t="s">
        <v>27</v>
      </c>
      <c r="D1" s="2"/>
      <c r="E1" s="2"/>
      <c r="F1" s="2"/>
      <c r="G1" s="3">
        <v>46192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24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25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488</v>
      </c>
      <c r="C6" s="4" t="s">
        <v>26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0" t="s">
        <v>36</v>
      </c>
      <c r="C8" s="41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9.5" customHeight="1" thickBot="1" x14ac:dyDescent="0.3">
      <c r="A11" s="44" t="s">
        <v>39</v>
      </c>
      <c r="B11" s="45"/>
      <c r="C11" s="45"/>
      <c r="D11" s="45"/>
      <c r="E11" s="45"/>
      <c r="F11" s="45"/>
      <c r="G11" s="46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7" t="s">
        <v>17</v>
      </c>
      <c r="C14" s="47"/>
      <c r="D14" s="47"/>
      <c r="E14" s="47"/>
      <c r="F14" s="10" t="s">
        <v>8</v>
      </c>
      <c r="G14" s="11" t="s">
        <v>1</v>
      </c>
    </row>
    <row r="15" spans="1:7" ht="32.25" customHeight="1" x14ac:dyDescent="0.25">
      <c r="A15" s="12" t="s">
        <v>18</v>
      </c>
      <c r="B15" s="49" t="s">
        <v>29</v>
      </c>
      <c r="C15" s="49"/>
      <c r="D15" s="49"/>
      <c r="E15" s="49"/>
      <c r="F15" s="21">
        <f>B6*1.4/1000*0.845*42.7</f>
        <v>24.650880799999999</v>
      </c>
      <c r="G15" s="13" t="s">
        <v>23</v>
      </c>
    </row>
    <row r="16" spans="1:7" ht="45" customHeight="1" x14ac:dyDescent="0.25">
      <c r="A16" s="19" t="s">
        <v>9</v>
      </c>
      <c r="B16" s="48" t="s">
        <v>16</v>
      </c>
      <c r="C16" s="48"/>
      <c r="D16" s="48"/>
      <c r="E16" s="48"/>
      <c r="F16" s="23">
        <f>B6*100/1000</f>
        <v>48.8</v>
      </c>
      <c r="G16" s="20" t="s">
        <v>28</v>
      </c>
    </row>
    <row r="17" spans="1:7" ht="45" customHeight="1" x14ac:dyDescent="0.25">
      <c r="A17" s="28" t="s">
        <v>37</v>
      </c>
      <c r="B17" s="48" t="s">
        <v>16</v>
      </c>
      <c r="C17" s="48"/>
      <c r="D17" s="48"/>
      <c r="E17" s="48"/>
      <c r="F17" s="30">
        <f>B6*0.2*50/1000</f>
        <v>4.88</v>
      </c>
      <c r="G17" s="20" t="s">
        <v>28</v>
      </c>
    </row>
    <row r="18" spans="1:7" ht="30.75" customHeight="1" x14ac:dyDescent="0.25">
      <c r="A18" s="28" t="s">
        <v>33</v>
      </c>
      <c r="B18" s="48" t="s">
        <v>31</v>
      </c>
      <c r="C18" s="48"/>
      <c r="D18" s="48"/>
      <c r="E18" s="48"/>
      <c r="F18" s="23">
        <f>B6*0.2</f>
        <v>97.600000000000009</v>
      </c>
      <c r="G18" s="20" t="s">
        <v>10</v>
      </c>
    </row>
    <row r="19" spans="1:7" ht="45.75" customHeight="1" x14ac:dyDescent="0.25">
      <c r="A19" s="19" t="s">
        <v>21</v>
      </c>
      <c r="B19" s="48" t="s">
        <v>22</v>
      </c>
      <c r="C19" s="48"/>
      <c r="D19" s="48"/>
      <c r="E19" s="48"/>
      <c r="F19" s="22">
        <f>-1430*0.2</f>
        <v>-286</v>
      </c>
      <c r="G19" s="20" t="s">
        <v>23</v>
      </c>
    </row>
    <row r="20" spans="1:7" ht="15.75" customHeight="1" x14ac:dyDescent="0.25">
      <c r="A20" s="25" t="s">
        <v>20</v>
      </c>
      <c r="B20" s="50" t="s">
        <v>19</v>
      </c>
      <c r="C20" s="50"/>
      <c r="D20" s="50"/>
      <c r="E20" s="50"/>
      <c r="F20" s="27">
        <f>-712*0.2</f>
        <v>-142.4</v>
      </c>
      <c r="G20" s="26" t="s">
        <v>23</v>
      </c>
    </row>
    <row r="21" spans="1:7" ht="29.45" customHeight="1" thickBot="1" x14ac:dyDescent="0.3">
      <c r="A21" s="8" t="s">
        <v>32</v>
      </c>
      <c r="B21" s="51" t="s">
        <v>38</v>
      </c>
      <c r="C21" s="51"/>
      <c r="D21" s="51"/>
      <c r="E21" s="51"/>
      <c r="F21" s="29">
        <f>-B6/436*0.8</f>
        <v>-0.8954128440366973</v>
      </c>
      <c r="G21" s="14" t="s">
        <v>34</v>
      </c>
    </row>
    <row r="22" spans="1:7" ht="156.75" customHeight="1" x14ac:dyDescent="0.25">
      <c r="A22" s="4"/>
      <c r="B22" s="4"/>
      <c r="C22" s="4"/>
      <c r="D22" s="4"/>
      <c r="E22" s="4"/>
      <c r="F22" s="4"/>
      <c r="G22" s="4"/>
    </row>
    <row r="23" spans="1:7" s="1" customFormat="1" ht="15.75" thickBot="1" x14ac:dyDescent="0.3">
      <c r="A23" s="2" t="s">
        <v>35</v>
      </c>
      <c r="B23" s="2"/>
      <c r="C23" s="24" t="s">
        <v>30</v>
      </c>
      <c r="D23" s="2"/>
      <c r="E23" s="2"/>
      <c r="F23" s="2"/>
      <c r="G23" s="3">
        <v>46192</v>
      </c>
    </row>
    <row r="24" spans="1:7" x14ac:dyDescent="0.25">
      <c r="A24" s="4"/>
      <c r="B24" s="4"/>
      <c r="C24" s="4"/>
      <c r="D24" s="4"/>
      <c r="E24" s="4"/>
      <c r="F24" s="4"/>
      <c r="G24" s="4"/>
    </row>
    <row r="25" spans="1:7" ht="15.75" thickBot="1" x14ac:dyDescent="0.3">
      <c r="A25" s="5" t="s">
        <v>11</v>
      </c>
      <c r="B25" s="4"/>
      <c r="C25" s="4"/>
      <c r="D25" s="4"/>
      <c r="E25" s="4"/>
      <c r="F25" s="4"/>
      <c r="G25" s="4"/>
    </row>
    <row r="26" spans="1:7" ht="47.25" thickBot="1" x14ac:dyDescent="0.4">
      <c r="A26" s="9" t="s">
        <v>3</v>
      </c>
      <c r="B26" s="15" t="s">
        <v>14</v>
      </c>
      <c r="C26" s="15" t="s">
        <v>13</v>
      </c>
      <c r="D26" s="42" t="s">
        <v>41</v>
      </c>
      <c r="E26" s="42"/>
      <c r="F26" s="42" t="s">
        <v>42</v>
      </c>
      <c r="G26" s="43"/>
    </row>
    <row r="27" spans="1:7" x14ac:dyDescent="0.25">
      <c r="A27" s="12" t="s">
        <v>18</v>
      </c>
      <c r="B27" s="17">
        <v>2.5299999999999998</v>
      </c>
      <c r="C27" s="17">
        <v>1.78E-2</v>
      </c>
      <c r="D27" s="36">
        <v>4.0800000000000003E-3</v>
      </c>
      <c r="E27" s="36"/>
      <c r="F27" s="36">
        <v>0.74399999999999999</v>
      </c>
      <c r="G27" s="37"/>
    </row>
    <row r="28" spans="1:7" x14ac:dyDescent="0.25">
      <c r="A28" s="19" t="s">
        <v>9</v>
      </c>
      <c r="B28" s="16">
        <v>9.33</v>
      </c>
      <c r="C28" s="16">
        <v>0.41499999999999998</v>
      </c>
      <c r="D28" s="34">
        <v>2.46E-2</v>
      </c>
      <c r="E28" s="34"/>
      <c r="F28" s="34">
        <v>2.94</v>
      </c>
      <c r="G28" s="38"/>
    </row>
    <row r="29" spans="1:7" ht="30" x14ac:dyDescent="0.25">
      <c r="A29" s="28" t="s">
        <v>37</v>
      </c>
      <c r="B29" s="16">
        <v>0.93300000000000005</v>
      </c>
      <c r="C29" s="16">
        <v>4.1500000000000002E-2</v>
      </c>
      <c r="D29" s="34">
        <v>2.4599999999999999E-3</v>
      </c>
      <c r="E29" s="34"/>
      <c r="F29" s="34">
        <v>0.29399999999999998</v>
      </c>
      <c r="G29" s="38"/>
    </row>
    <row r="30" spans="1:7" ht="30" x14ac:dyDescent="0.25">
      <c r="A30" s="28" t="s">
        <v>33</v>
      </c>
      <c r="B30" s="16">
        <v>1.54</v>
      </c>
      <c r="C30" s="16">
        <v>2.52E-2</v>
      </c>
      <c r="D30" s="34">
        <v>1.2999999999999999E-2</v>
      </c>
      <c r="E30" s="34"/>
      <c r="F30" s="34">
        <v>0.313</v>
      </c>
      <c r="G30" s="38"/>
    </row>
    <row r="31" spans="1:7" x14ac:dyDescent="0.25">
      <c r="A31" s="19" t="s">
        <v>21</v>
      </c>
      <c r="B31" s="16">
        <v>-20.9</v>
      </c>
      <c r="C31" s="16">
        <v>-1.22</v>
      </c>
      <c r="D31" s="34">
        <v>-6.7600000000000004E-3</v>
      </c>
      <c r="E31" s="34"/>
      <c r="F31" s="34">
        <v>-4.54</v>
      </c>
      <c r="G31" s="38"/>
    </row>
    <row r="32" spans="1:7" x14ac:dyDescent="0.25">
      <c r="A32" s="19" t="s">
        <v>20</v>
      </c>
      <c r="B32" s="16">
        <v>-7.04</v>
      </c>
      <c r="C32" s="16">
        <v>-1.59</v>
      </c>
      <c r="D32" s="34">
        <v>-6.1199999999999997E-2</v>
      </c>
      <c r="E32" s="34"/>
      <c r="F32" s="34">
        <v>-1.74</v>
      </c>
      <c r="G32" s="38"/>
    </row>
    <row r="33" spans="1:7" ht="15.75" thickBot="1" x14ac:dyDescent="0.3">
      <c r="A33" s="8" t="s">
        <v>32</v>
      </c>
      <c r="B33" s="16">
        <v>-97.9</v>
      </c>
      <c r="C33" s="16">
        <v>-751</v>
      </c>
      <c r="D33" s="34">
        <v>-0.35499999999999998</v>
      </c>
      <c r="E33" s="34"/>
      <c r="F33" s="34">
        <v>-28.3</v>
      </c>
      <c r="G33" s="38"/>
    </row>
    <row r="34" spans="1:7" ht="15.75" thickBot="1" x14ac:dyDescent="0.3">
      <c r="A34" s="9" t="s">
        <v>15</v>
      </c>
      <c r="B34" s="18">
        <v>-112</v>
      </c>
      <c r="C34" s="18">
        <v>-753</v>
      </c>
      <c r="D34" s="35">
        <v>-0.379</v>
      </c>
      <c r="E34" s="35"/>
      <c r="F34" s="35">
        <v>-30.3</v>
      </c>
      <c r="G34" s="39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ht="15.75" thickBot="1" x14ac:dyDescent="0.3">
      <c r="A36" s="5" t="s">
        <v>12</v>
      </c>
      <c r="B36" s="4"/>
      <c r="C36" s="4"/>
      <c r="D36" s="4"/>
      <c r="E36" s="4"/>
      <c r="F36" s="4"/>
      <c r="G36" s="4"/>
    </row>
    <row r="37" spans="1:7" ht="153.75" customHeight="1" thickBot="1" x14ac:dyDescent="0.3">
      <c r="A37" s="31" t="s">
        <v>40</v>
      </c>
      <c r="B37" s="32"/>
      <c r="C37" s="32"/>
      <c r="D37" s="32"/>
      <c r="E37" s="32"/>
      <c r="F37" s="32"/>
      <c r="G37" s="33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</sheetData>
  <mergeCells count="29">
    <mergeCell ref="B8:C8"/>
    <mergeCell ref="D26:E26"/>
    <mergeCell ref="F26:G26"/>
    <mergeCell ref="D27:E27"/>
    <mergeCell ref="D28:E28"/>
    <mergeCell ref="A11:G11"/>
    <mergeCell ref="B14:E14"/>
    <mergeCell ref="B16:E16"/>
    <mergeCell ref="B18:E18"/>
    <mergeCell ref="B15:E15"/>
    <mergeCell ref="B20:E20"/>
    <mergeCell ref="B19:E19"/>
    <mergeCell ref="B21:E21"/>
    <mergeCell ref="B17:E17"/>
    <mergeCell ref="A37:G37"/>
    <mergeCell ref="D32:E32"/>
    <mergeCell ref="D34:E34"/>
    <mergeCell ref="F27:G27"/>
    <mergeCell ref="F28:G28"/>
    <mergeCell ref="F32:G32"/>
    <mergeCell ref="F34:G34"/>
    <mergeCell ref="D30:E30"/>
    <mergeCell ref="F30:G30"/>
    <mergeCell ref="D31:E31"/>
    <mergeCell ref="F31:G31"/>
    <mergeCell ref="D33:E33"/>
    <mergeCell ref="F33:G33"/>
    <mergeCell ref="D29:E29"/>
    <mergeCell ref="F29:G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CW_RU_01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2026-08-06T16:29:15Z</dcterms:modified>
</cp:coreProperties>
</file>