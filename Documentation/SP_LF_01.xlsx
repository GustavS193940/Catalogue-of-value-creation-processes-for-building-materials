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335D990E-B92A-4912-853F-DCA8AEDAA2CA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SP_LF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5" i="1" l="1"/>
  <c r="F16" i="1"/>
  <c r="F17" i="1"/>
</calcChain>
</file>

<file path=xl/sharedStrings.xml><?xml version="1.0" encoding="utf-8"?>
<sst xmlns="http://schemas.openxmlformats.org/spreadsheetml/2006/main" count="38" uniqueCount="33">
  <si>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</si>
  <si>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</si>
  <si>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</si>
  <si>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</si>
  <si>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</si>
  <si>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</si>
  <si>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</si>
  <si>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</si>
  <si>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</si>
  <si>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</si>
  <si>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</si>
  <si>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</si>
  <si>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</si>
  <si>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</si>
  <si>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</si>
  <si>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</si>
  <si>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</si>
  <si>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</si>
  <si>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Landfill</t>
  </si>
  <si>
    <t>Disassembly</t>
  </si>
  <si>
    <t>Diesel, burned in building machine {GLO}| market for diesel, burned in building machine | Cut-off, S</t>
  </si>
  <si>
    <t>Page 1 of 1</t>
  </si>
  <si>
    <t>1 kg</t>
  </si>
  <si>
    <t>kg/kg</t>
  </si>
  <si>
    <t>Waste steel {Europe without Switzerland}| treatment of waste steel, inert material landfill | Cut-off, S</t>
  </si>
  <si>
    <t>kgkm</t>
  </si>
  <si>
    <t>kJ</t>
  </si>
  <si>
    <t>SP_LF_01 - Life Cycle Inventory</t>
  </si>
  <si>
    <t>Steel Profiles</t>
  </si>
  <si>
    <t>1 kg steel profiles are extracted from the building using diesel-driven machinery. Assumed diesel use of 1.4 L/t material based on a report from the Danish Environmental Protection Agency [1]. The steel profiles are transported 50 km by truck to a municipal landfill site.</t>
  </si>
  <si>
    <t>Mineral Resource Scarcity 
[kg CU eq]</t>
  </si>
  <si>
    <t>Fossil Resource Scarcity 
[kg oil eq]</t>
  </si>
  <si>
    <t>EcoInvent database version: 3.12
Impact assessment method: ReCiPe2016 Midpoint (H)
Diesel density assumed to be 0.845 kg/L with an energy density of 42.7 MJ/kg.
[1] Miljøstyrelsen: https://www2.mst.dk/Udgiv/publikationer/2022/02/978-87-7038-353-0.pdf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</si>
</sst>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64" fontId="0" fillId="3" borderId="9" xfId="0" applyNumberFormat="1" applyFill="1" applyBorder="1" applyAlignment="1">
      <alignment vertical="center"/>
    </xf>
    <xf numFmtId="164" fontId="0" fillId="3" borderId="16" xfId="0" applyNumberFormat="1" applyFill="1" applyBorder="1" applyAlignment="1">
      <alignment vertical="center"/>
    </xf>
    <xf numFmtId="2" fontId="0" fillId="3" borderId="1" xfId="0" applyNumberFormat="1" applyFill="1" applyBorder="1" applyAlignment="1">
      <alignment vertical="center"/>
    </xf>
    <xf numFmtId="2" fontId="0" fillId="3" borderId="0" xfId="0" applyNumberFormat="1" applyFill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11" fontId="0" fillId="3" borderId="13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14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1" fillId="3" borderId="5" xfId="0" applyFont="1" applyFill="1" applyBorder="1"/>
    <xf numFmtId="0" fontId="0" fillId="3" borderId="16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27"/>
  <sheetViews>
    <sheetView tabSelected="1" view="pageLayout" zoomScaleNormal="100" workbookViewId="0">
      <selection activeCell="A25" sqref="A25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27</v>
      </c>
      <c r="B1" s="2"/>
      <c r="C1" s="22" t="s">
        <v>21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28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22</v>
      </c>
      <c r="C5" s="4"/>
      <c r="D5" s="4"/>
      <c r="E5" s="4"/>
      <c r="F5" s="4"/>
      <c r="G5" s="4"/>
    </row>
    <row r="6" spans="1:7" x14ac:dyDescent="0.25">
      <c r="A6" s="5" t="s">
        <v>2</v>
      </c>
      <c r="B6" s="26">
        <v>1</v>
      </c>
      <c r="C6" s="4" t="s">
        <v>23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8" t="s">
        <v>18</v>
      </c>
      <c r="C8" s="39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13.25" customHeight="1" thickBot="1" x14ac:dyDescent="0.3">
      <c r="A11" s="27" t="s">
        <v>29</v>
      </c>
      <c r="B11" s="28"/>
      <c r="C11" s="28"/>
      <c r="D11" s="28"/>
      <c r="E11" s="28"/>
      <c r="F11" s="28"/>
      <c r="G11" s="29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42" t="s">
        <v>17</v>
      </c>
      <c r="C14" s="42"/>
      <c r="D14" s="42"/>
      <c r="E14" s="42"/>
      <c r="F14" s="10" t="s">
        <v>8</v>
      </c>
      <c r="G14" s="11" t="s">
        <v>1</v>
      </c>
    </row>
    <row r="15" spans="1:7" ht="32.25" customHeight="1" x14ac:dyDescent="0.25">
      <c r="A15" s="12" t="s">
        <v>19</v>
      </c>
      <c r="B15" s="45" t="s">
        <v>20</v>
      </c>
      <c r="C15" s="45"/>
      <c r="D15" s="45"/>
      <c r="E15" s="45"/>
      <c r="F15" s="23">
        <f>B6*1.4/1000*0.845*42.7*1000</f>
        <v>50.514100000000006</v>
      </c>
      <c r="G15" s="13" t="s">
        <v>26</v>
      </c>
    </row>
    <row r="16" spans="1:7" ht="45" customHeight="1" x14ac:dyDescent="0.25">
      <c r="A16" s="20" t="s">
        <v>9</v>
      </c>
      <c r="B16" s="43" t="s">
        <v>16</v>
      </c>
      <c r="C16" s="43"/>
      <c r="D16" s="43"/>
      <c r="E16" s="43"/>
      <c r="F16" s="24">
        <f>B6*50</f>
        <v>50</v>
      </c>
      <c r="G16" s="21" t="s">
        <v>25</v>
      </c>
    </row>
    <row r="17" spans="1:7" ht="32.25" customHeight="1" thickBot="1" x14ac:dyDescent="0.3">
      <c r="A17" s="8" t="s">
        <v>18</v>
      </c>
      <c r="B17" s="44" t="s">
        <v>24</v>
      </c>
      <c r="C17" s="44"/>
      <c r="D17" s="44"/>
      <c r="E17" s="44"/>
      <c r="F17" s="25">
        <f>B6</f>
        <v>1</v>
      </c>
      <c r="G17" s="14" t="s">
        <v>10</v>
      </c>
    </row>
    <row r="18" spans="1:7" x14ac:dyDescent="0.25">
      <c r="A18" s="4"/>
      <c r="B18" s="4"/>
      <c r="C18" s="4"/>
      <c r="D18" s="4"/>
      <c r="E18" s="4"/>
      <c r="F18" s="4"/>
      <c r="G18" s="4"/>
    </row>
    <row r="19" spans="1:7" ht="15.75" thickBot="1" x14ac:dyDescent="0.3">
      <c r="A19" s="5" t="s">
        <v>11</v>
      </c>
      <c r="B19" s="4"/>
      <c r="C19" s="4"/>
      <c r="D19" s="4"/>
      <c r="E19" s="4"/>
      <c r="F19" s="4"/>
      <c r="G19" s="4"/>
    </row>
    <row r="20" spans="1:7" ht="47.25" thickBot="1" x14ac:dyDescent="0.4">
      <c r="A20" s="9" t="s">
        <v>3</v>
      </c>
      <c r="B20" s="15" t="s">
        <v>14</v>
      </c>
      <c r="C20" s="15" t="s">
        <v>13</v>
      </c>
      <c r="D20" s="40" t="s">
        <v>30</v>
      </c>
      <c r="E20" s="40"/>
      <c r="F20" s="40" t="s">
        <v>31</v>
      </c>
      <c r="G20" s="41"/>
    </row>
    <row r="21" spans="1:7" x14ac:dyDescent="0.25">
      <c r="A21" s="12" t="s">
        <v>19</v>
      </c>
      <c r="B21" s="17">
        <v>5.1799999999999997E-3</v>
      </c>
      <c r="C21" s="17">
        <v>3.6399999999999997E-5</v>
      </c>
      <c r="D21" s="32">
        <v>8.3499999999999997E-6</v>
      </c>
      <c r="E21" s="32"/>
      <c r="F21" s="32">
        <v>1.5200000000000001E-3</v>
      </c>
      <c r="G21" s="33"/>
    </row>
    <row r="22" spans="1:7" x14ac:dyDescent="0.25">
      <c r="A22" s="20" t="s">
        <v>9</v>
      </c>
      <c r="B22" s="16">
        <v>9.5600000000000008E-3</v>
      </c>
      <c r="C22" s="16">
        <v>4.2499999999999998E-4</v>
      </c>
      <c r="D22" s="34">
        <v>2.5199999999999999E-5</v>
      </c>
      <c r="E22" s="34"/>
      <c r="F22" s="34">
        <v>3.0100000000000001E-3</v>
      </c>
      <c r="G22" s="35"/>
    </row>
    <row r="23" spans="1:7" ht="15.75" thickBot="1" x14ac:dyDescent="0.3">
      <c r="A23" s="8" t="s">
        <v>18</v>
      </c>
      <c r="B23" s="18">
        <v>6.4900000000000001E-3</v>
      </c>
      <c r="C23" s="18">
        <v>-3.57E-4</v>
      </c>
      <c r="D23" s="30">
        <v>1.3499999999999999E-5</v>
      </c>
      <c r="E23" s="30"/>
      <c r="F23" s="30">
        <v>3.5200000000000001E-3</v>
      </c>
      <c r="G23" s="36"/>
    </row>
    <row r="24" spans="1:7" ht="15.75" thickBot="1" x14ac:dyDescent="0.3">
      <c r="A24" s="9" t="s">
        <v>15</v>
      </c>
      <c r="B24" s="19">
        <v>2.12E-2</v>
      </c>
      <c r="C24" s="19">
        <v>1.05E-4</v>
      </c>
      <c r="D24" s="31">
        <v>4.71E-5</v>
      </c>
      <c r="E24" s="31"/>
      <c r="F24" s="31">
        <v>8.0599999999999995E-3</v>
      </c>
      <c r="G24" s="37"/>
    </row>
    <row r="25" spans="1:7" x14ac:dyDescent="0.25">
      <c r="A25" s="4"/>
      <c r="B25" s="4"/>
      <c r="C25" s="4"/>
      <c r="D25" s="4"/>
      <c r="E25" s="4"/>
      <c r="F25" s="4"/>
      <c r="G25" s="4"/>
    </row>
    <row r="26" spans="1:7" ht="15.75" thickBot="1" x14ac:dyDescent="0.3">
      <c r="A26" s="5" t="s">
        <v>12</v>
      </c>
      <c r="B26" s="4"/>
      <c r="C26" s="4"/>
      <c r="D26" s="4"/>
      <c r="E26" s="4"/>
      <c r="F26" s="4"/>
      <c r="G26" s="4"/>
    </row>
    <row r="27" spans="1:7" ht="114.75" customHeight="1" thickBot="1" x14ac:dyDescent="0.3">
      <c r="A27" s="27" t="s">
        <v>32</v>
      </c>
      <c r="B27" s="28"/>
      <c r="C27" s="28"/>
      <c r="D27" s="28"/>
      <c r="E27" s="28"/>
      <c r="F27" s="28"/>
      <c r="G27" s="29"/>
    </row>
  </sheetData>
  <mergeCells count="17">
    <mergeCell ref="B8:C8"/>
    <mergeCell ref="D20:E20"/>
    <mergeCell ref="F20:G20"/>
    <mergeCell ref="D21:E21"/>
    <mergeCell ref="D22:E22"/>
    <mergeCell ref="A11:G11"/>
    <mergeCell ref="B14:E14"/>
    <mergeCell ref="B16:E16"/>
    <mergeCell ref="B17:E17"/>
    <mergeCell ref="B15:E15"/>
    <mergeCell ref="A27:G27"/>
    <mergeCell ref="D23:E23"/>
    <mergeCell ref="D24:E24"/>
    <mergeCell ref="F21:G21"/>
    <mergeCell ref="F22:G22"/>
    <mergeCell ref="F23:G23"/>
    <mergeCell ref="F24:G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SP_LF_01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2026-08-06T16:43:49Z</dcterms:modified>
</cp:coreProperties>
</file>