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7A4E0B00-F999-4E79-A5E8-26AA87E5F3DA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WAW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9" i="1" l="1"/>
  <c r="F23" i="1"/>
  <c r="F30" i="1"/>
  <c r="F31" i="1"/>
  <c r="F28" i="1"/>
  <c r="F27" i="1"/>
  <c r="F25" i="1"/>
  <c r="F26" i="1"/>
  <c r="F24" i="1"/>
  <c r="F22" i="1"/>
  <c r="F21" i="1"/>
  <c r="F20" i="1"/>
  <c r="F19" i="1"/>
  <c r="F17" i="1"/>
  <c r="F18" i="1" l="1"/>
</calcChain>
</file>

<file path=xl/sharedStrings.xml><?xml version="1.0" encoding="utf-8"?>
<sst xmlns="http://schemas.openxmlformats.org/spreadsheetml/2006/main" count="90" uniqueCount="59">
  <si>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</si>
  <si>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</si>
  <si>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</si>
  <si>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</si>
  <si>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</si>
  <si>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</si>
  <si>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</si>
  <si>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</si>
  <si>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</si>
  <si>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</si>
  <si>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</si>
  <si>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</si>
  <si>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</si>
  <si>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</si>
  <si>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</si>
  <si>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</si>
  <si>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</si>
  <si>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</si>
  <si>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MJ</t>
  </si>
  <si>
    <t>1 m²</t>
  </si>
  <si>
    <t>kg/m²</t>
  </si>
  <si>
    <t>tkm</t>
  </si>
  <si>
    <t>Inert waste, for final disposal {RoW}| treatment of inert waste, inert material landfill | Cut-off, S</t>
  </si>
  <si>
    <t>Crushing</t>
  </si>
  <si>
    <t>Rock crushing {RER}| rock crushing | Cut-off, S</t>
  </si>
  <si>
    <t>Transportation of wood</t>
  </si>
  <si>
    <t>kgkm</t>
  </si>
  <si>
    <t>Incineration</t>
  </si>
  <si>
    <t>Waste wood, untreated {GLO}| treatment of waste wood, untreated, municipal incineration | Cut-off, S</t>
  </si>
  <si>
    <t>Transportation of residual</t>
  </si>
  <si>
    <t>Landfill of residual</t>
  </si>
  <si>
    <t>Recovered heat</t>
  </si>
  <si>
    <t>Heat, district or industrial, other than natural gas {Europe without Switzerland}| market for heat, district or industrial, other than natural gas | Cut-off, S</t>
  </si>
  <si>
    <t>Recovered electricity</t>
  </si>
  <si>
    <t>Electricity, low voltage {DK}| market for | Cut-off, S</t>
  </si>
  <si>
    <t>Avoided sand</t>
  </si>
  <si>
    <t>Silica sand {GLO}| market for silica sand | Cut-off, S</t>
  </si>
  <si>
    <t>Transportation of non-reusable</t>
  </si>
  <si>
    <t>Avoided window frame</t>
  </si>
  <si>
    <t>Avoided window glass</t>
  </si>
  <si>
    <t>m²</t>
  </si>
  <si>
    <t>Glazing, triple, U&lt;0.5 W/m2K {GLO}| market for glazing, triple, U&lt;0.5 W/m2K | Cut-off, S</t>
  </si>
  <si>
    <t>Page 2 of 3</t>
  </si>
  <si>
    <t>Page 1 of 3</t>
  </si>
  <si>
    <t>Page 3 of 3</t>
  </si>
  <si>
    <t>Reuse</t>
  </si>
  <si>
    <t>Wood/Aluminium Window</t>
  </si>
  <si>
    <t>WAW_RU_01 - Life Cycle Inventory</t>
  </si>
  <si>
    <t>1 m² wood frame window is extracted from the building by hand. The window is transported 100 km by truck to a facility in Denmark where the intact windows are reused. Assumed 20% of windows are reusable based on a By og Byg publication (2003) [1] . The remaining 80% is transported another 100 km by truck to a facility in Denmark where the glass (which makes up approximately 64% of the remaining mass) is crushed, replacing sand in the production of new glass products. Another approximately 21% of the remaining material is wood, which is transported another 50 km to a municipal incineration plant where it is incinerated for energy recovery. Heat recovery of 2.93 MJ/kg wood and electricity recovery of 1.46 MJ/kg wood from Danish industry EPD for construction wood [2]. Another approximately 6% of the remaining material is aluminium, which is transported another 1000 km to a facility in europe where it is melted replacing virgin aluminium. The remaining material is then transported 50 km by truck to a municipal landfill site.</t>
  </si>
  <si>
    <t>Transportation of aluminium</t>
  </si>
  <si>
    <t>Transport, freight, lorry, &gt;32 metric ton, diesel, EURO 6 {RER}| market for transport, freight, lorry, &gt;32 metric ton, diesel, EURO 6 | Cut-off, S</t>
  </si>
  <si>
    <t>Melting</t>
  </si>
  <si>
    <t>Energy and auxilliary inputs, metal working machine {RER}| energy and auxilliary, metal working machine, with process heat from natural gas | Cut-off, S</t>
  </si>
  <si>
    <t>Window frame, wood-metal, U=1.6 W/m2K {GLO}| market for window frame, wood-metal, U=1.6 W/m2K | Cut-off, S</t>
  </si>
  <si>
    <t>Avoided aluminium</t>
  </si>
  <si>
    <t>Aluminium, cast alloy {GLO}| market for aluminium, cast alloy |Cut-off, S</t>
  </si>
  <si>
    <t>EcoInvent database version: 3.12
Impact assessment method: ReCiPe2016 Midpoint (H)
Mass factor determined from Danish industry EPD for wood frame windows MD-22039-DA [3]
EcoInvent process for avoided window frame assumes a weight of 83.4 kg/visible m², so area has been scaled down to match the weight of the reused frame.
EcoInvent process for avoided window glass assumes a weight of 31.9 kg/visible m², so area has been scaled down to match the weight of the reused glazing.
[1] By og Byg (2003): https://vbn.aau.dk/ws/portalfiles/portal/14366188/Dokumentation046.pdf
[2] MD-25104-EN: https://www.epddanmark.dk/media/y1wfvthh/md-25104-en.pdf
[3] MD-22039-DA: https://www.epddanmark.dk/media/4pnfnax3/md-22039-da.pdf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</si>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</sst>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1" fillId="3" borderId="4" xfId="0" applyFont="1" applyFill="1" applyBorder="1" applyAlignment="1">
      <alignment wrapText="1"/>
    </xf>
    <xf numFmtId="11" fontId="0" fillId="3" borderId="7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1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12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 wrapText="1"/>
    </xf>
    <xf numFmtId="164" fontId="0" fillId="3" borderId="12" xfId="0" applyNumberFormat="1" applyFill="1" applyBorder="1" applyAlignment="1">
      <alignment vertical="center"/>
    </xf>
    <xf numFmtId="1" fontId="0" fillId="3" borderId="12" xfId="0" applyNumberFormat="1" applyFill="1" applyBorder="1" applyAlignment="1">
      <alignment vertical="center"/>
    </xf>
    <xf numFmtId="2" fontId="0" fillId="3" borderId="7" xfId="0" applyNumberFormat="1" applyFill="1" applyBorder="1" applyAlignment="1">
      <alignment vertical="center"/>
    </xf>
    <xf numFmtId="166" fontId="0" fillId="3" borderId="7" xfId="0" applyNumberFormat="1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5" fontId="0" fillId="3" borderId="9" xfId="0" applyNumberFormat="1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11" fontId="0" fillId="3" borderId="7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3" borderId="7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4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6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  <xf numFmtId="0" fontId="0" fillId="3" borderId="9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3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47</v>
      </c>
      <c r="B1" s="2"/>
      <c r="C1" s="16" t="s">
        <v>43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2" t="s">
        <v>46</v>
      </c>
      <c r="C3" s="33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19</v>
      </c>
      <c r="C5" s="4"/>
      <c r="D5" s="4"/>
      <c r="E5" s="4"/>
      <c r="F5" s="4"/>
      <c r="G5" s="4"/>
    </row>
    <row r="6" spans="1:7" x14ac:dyDescent="0.25">
      <c r="A6" s="5" t="s">
        <v>2</v>
      </c>
      <c r="B6" s="17">
        <v>36.4</v>
      </c>
      <c r="C6" s="4" t="s">
        <v>20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2" t="s">
        <v>45</v>
      </c>
      <c r="C8" s="33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66.5" customHeight="1" thickBot="1" x14ac:dyDescent="0.3">
      <c r="A11" s="36" t="s">
        <v>48</v>
      </c>
      <c r="B11" s="37"/>
      <c r="C11" s="37"/>
      <c r="D11" s="37"/>
      <c r="E11" s="37"/>
      <c r="F11" s="37"/>
      <c r="G11" s="38"/>
    </row>
    <row r="12" spans="1:7" ht="397.5" customHeight="1" x14ac:dyDescent="0.25">
      <c r="A12" s="4"/>
      <c r="B12" s="4"/>
      <c r="C12" s="4"/>
      <c r="D12" s="4"/>
      <c r="E12" s="4"/>
      <c r="F12" s="4"/>
      <c r="G12" s="4"/>
    </row>
    <row r="13" spans="1:7" s="1" customFormat="1" ht="15.75" thickBot="1" x14ac:dyDescent="0.3">
      <c r="A13" s="2" t="s">
        <v>47</v>
      </c>
      <c r="B13" s="2"/>
      <c r="C13" s="16" t="s">
        <v>42</v>
      </c>
      <c r="D13" s="2"/>
      <c r="E13" s="2"/>
      <c r="F13" s="2"/>
      <c r="G13" s="3">
        <v>46194</v>
      </c>
    </row>
    <row r="14" spans="1:7" x14ac:dyDescent="0.25">
      <c r="A14" s="4"/>
      <c r="B14" s="4"/>
      <c r="C14" s="4"/>
      <c r="D14" s="4"/>
      <c r="E14" s="4"/>
      <c r="F14" s="4"/>
      <c r="G14" s="4"/>
    </row>
    <row r="15" spans="1:7" ht="15.75" thickBot="1" x14ac:dyDescent="0.3">
      <c r="A15" s="5" t="s">
        <v>5</v>
      </c>
      <c r="B15" s="4"/>
      <c r="C15" s="4"/>
      <c r="D15" s="4"/>
      <c r="E15" s="4"/>
      <c r="F15" s="4"/>
      <c r="G15" s="4"/>
    </row>
    <row r="16" spans="1:7" ht="15.75" thickBot="1" x14ac:dyDescent="0.3">
      <c r="A16" s="7" t="s">
        <v>3</v>
      </c>
      <c r="B16" s="45" t="s">
        <v>17</v>
      </c>
      <c r="C16" s="45"/>
      <c r="D16" s="45"/>
      <c r="E16" s="45"/>
      <c r="F16" s="8" t="s">
        <v>8</v>
      </c>
      <c r="G16" s="9" t="s">
        <v>1</v>
      </c>
    </row>
    <row r="17" spans="1:7" ht="45" customHeight="1" x14ac:dyDescent="0.25">
      <c r="A17" s="14" t="s">
        <v>9</v>
      </c>
      <c r="B17" s="35" t="s">
        <v>16</v>
      </c>
      <c r="C17" s="35"/>
      <c r="D17" s="35"/>
      <c r="E17" s="35"/>
      <c r="F17" s="18">
        <f>B6*100/1000</f>
        <v>3.64</v>
      </c>
      <c r="G17" s="15" t="s">
        <v>21</v>
      </c>
    </row>
    <row r="18" spans="1:7" ht="45" customHeight="1" x14ac:dyDescent="0.25">
      <c r="A18" s="22" t="s">
        <v>37</v>
      </c>
      <c r="B18" s="35" t="s">
        <v>16</v>
      </c>
      <c r="C18" s="35"/>
      <c r="D18" s="35"/>
      <c r="E18" s="35"/>
      <c r="F18" s="18">
        <f>B6*0.8*100/1000</f>
        <v>2.9119999999999999</v>
      </c>
      <c r="G18" s="15" t="s">
        <v>21</v>
      </c>
    </row>
    <row r="19" spans="1:7" x14ac:dyDescent="0.25">
      <c r="A19" s="19" t="s">
        <v>23</v>
      </c>
      <c r="B19" s="34" t="s">
        <v>24</v>
      </c>
      <c r="C19" s="34"/>
      <c r="D19" s="34"/>
      <c r="E19" s="34"/>
      <c r="F19" s="21">
        <f>B6*0.8*0.64</f>
        <v>18.636800000000001</v>
      </c>
      <c r="G19" s="20" t="s">
        <v>10</v>
      </c>
    </row>
    <row r="20" spans="1:7" ht="45" customHeight="1" x14ac:dyDescent="0.25">
      <c r="A20" s="22" t="s">
        <v>25</v>
      </c>
      <c r="B20" s="35" t="s">
        <v>16</v>
      </c>
      <c r="C20" s="35"/>
      <c r="D20" s="35"/>
      <c r="E20" s="35"/>
      <c r="F20" s="24">
        <f>B6*0.8*0.21*50</f>
        <v>305.76</v>
      </c>
      <c r="G20" s="15" t="s">
        <v>26</v>
      </c>
    </row>
    <row r="21" spans="1:7" ht="30.75" customHeight="1" x14ac:dyDescent="0.25">
      <c r="A21" s="14" t="s">
        <v>27</v>
      </c>
      <c r="B21" s="35" t="s">
        <v>28</v>
      </c>
      <c r="C21" s="35"/>
      <c r="D21" s="35"/>
      <c r="E21" s="35"/>
      <c r="F21" s="18">
        <f>B6*0.8*0.21</f>
        <v>6.1151999999999997</v>
      </c>
      <c r="G21" s="15" t="s">
        <v>10</v>
      </c>
    </row>
    <row r="22" spans="1:7" ht="45" customHeight="1" x14ac:dyDescent="0.25">
      <c r="A22" s="22" t="s">
        <v>49</v>
      </c>
      <c r="B22" s="35" t="s">
        <v>50</v>
      </c>
      <c r="C22" s="35"/>
      <c r="D22" s="35"/>
      <c r="E22" s="35"/>
      <c r="F22" s="18">
        <f>B6*0.8*0.06*1000/1000</f>
        <v>1.7472000000000001</v>
      </c>
      <c r="G22" s="15" t="s">
        <v>21</v>
      </c>
    </row>
    <row r="23" spans="1:7" ht="46.5" customHeight="1" x14ac:dyDescent="0.25">
      <c r="A23" s="19" t="s">
        <v>51</v>
      </c>
      <c r="B23" s="34" t="s">
        <v>52</v>
      </c>
      <c r="C23" s="34"/>
      <c r="D23" s="34"/>
      <c r="E23" s="34"/>
      <c r="F23" s="25">
        <f>B6*0.8*0.06</f>
        <v>1.7472000000000001</v>
      </c>
      <c r="G23" s="20" t="s">
        <v>10</v>
      </c>
    </row>
    <row r="24" spans="1:7" ht="45" customHeight="1" x14ac:dyDescent="0.25">
      <c r="A24" s="22" t="s">
        <v>29</v>
      </c>
      <c r="B24" s="35" t="s">
        <v>16</v>
      </c>
      <c r="C24" s="35"/>
      <c r="D24" s="35"/>
      <c r="E24" s="35"/>
      <c r="F24" s="24">
        <f>B6*0.8*0.09*50</f>
        <v>131.04</v>
      </c>
      <c r="G24" s="15" t="s">
        <v>26</v>
      </c>
    </row>
    <row r="25" spans="1:7" ht="32.25" customHeight="1" x14ac:dyDescent="0.25">
      <c r="A25" s="19" t="s">
        <v>30</v>
      </c>
      <c r="B25" s="34" t="s">
        <v>22</v>
      </c>
      <c r="C25" s="34"/>
      <c r="D25" s="34"/>
      <c r="E25" s="34"/>
      <c r="F25" s="25">
        <f>B6*0.8*0.09</f>
        <v>2.6208</v>
      </c>
      <c r="G25" s="20" t="s">
        <v>10</v>
      </c>
    </row>
    <row r="26" spans="1:7" ht="45.75" customHeight="1" x14ac:dyDescent="0.25">
      <c r="A26" s="14" t="s">
        <v>31</v>
      </c>
      <c r="B26" s="35" t="s">
        <v>32</v>
      </c>
      <c r="C26" s="35"/>
      <c r="D26" s="35"/>
      <c r="E26" s="35"/>
      <c r="F26" s="23">
        <f>-B6*0.8*0.21*2.93</f>
        <v>-17.917536000000002</v>
      </c>
      <c r="G26" s="15" t="s">
        <v>18</v>
      </c>
    </row>
    <row r="27" spans="1:7" ht="15.75" customHeight="1" x14ac:dyDescent="0.25">
      <c r="A27" s="19" t="s">
        <v>33</v>
      </c>
      <c r="B27" s="34" t="s">
        <v>34</v>
      </c>
      <c r="C27" s="34"/>
      <c r="D27" s="34"/>
      <c r="E27" s="34"/>
      <c r="F27" s="25">
        <f>-B6*0.8*0.21*1.46</f>
        <v>-8.9281919999999992</v>
      </c>
      <c r="G27" s="20" t="s">
        <v>18</v>
      </c>
    </row>
    <row r="28" spans="1:7" ht="15.75" customHeight="1" x14ac:dyDescent="0.25">
      <c r="A28" s="19" t="s">
        <v>35</v>
      </c>
      <c r="B28" s="34" t="s">
        <v>36</v>
      </c>
      <c r="C28" s="34"/>
      <c r="D28" s="34"/>
      <c r="E28" s="34"/>
      <c r="F28" s="21">
        <f>-B6*0.8*0.64</f>
        <v>-18.636800000000001</v>
      </c>
      <c r="G28" s="20" t="s">
        <v>10</v>
      </c>
    </row>
    <row r="29" spans="1:7" ht="28.5" customHeight="1" x14ac:dyDescent="0.25">
      <c r="A29" s="19" t="s">
        <v>54</v>
      </c>
      <c r="B29" s="34" t="s">
        <v>55</v>
      </c>
      <c r="C29" s="34"/>
      <c r="D29" s="34"/>
      <c r="E29" s="34"/>
      <c r="F29" s="25">
        <f>-B6*0.8*0.06</f>
        <v>-1.7472000000000001</v>
      </c>
      <c r="G29" s="20" t="s">
        <v>10</v>
      </c>
    </row>
    <row r="30" spans="1:7" ht="45" customHeight="1" x14ac:dyDescent="0.25">
      <c r="A30" s="19" t="s">
        <v>38</v>
      </c>
      <c r="B30" s="34" t="s">
        <v>53</v>
      </c>
      <c r="C30" s="34"/>
      <c r="D30" s="34"/>
      <c r="E30" s="34"/>
      <c r="F30" s="26">
        <f>-B6*0.2*0.36/83.4</f>
        <v>-3.1424460431654672E-2</v>
      </c>
      <c r="G30" s="20" t="s">
        <v>40</v>
      </c>
    </row>
    <row r="31" spans="1:7" ht="31.5" customHeight="1" thickBot="1" x14ac:dyDescent="0.3">
      <c r="A31" s="27" t="s">
        <v>39</v>
      </c>
      <c r="B31" s="46" t="s">
        <v>41</v>
      </c>
      <c r="C31" s="46"/>
      <c r="D31" s="46"/>
      <c r="E31" s="46"/>
      <c r="F31" s="28">
        <f>-B6*0.2*0.64/31.9</f>
        <v>-0.14605642633228841</v>
      </c>
      <c r="G31" s="29" t="s">
        <v>40</v>
      </c>
    </row>
    <row r="32" spans="1:7" ht="112.5" customHeight="1" x14ac:dyDescent="0.25">
      <c r="A32" s="4"/>
      <c r="B32" s="4"/>
      <c r="C32" s="4"/>
      <c r="D32" s="4"/>
      <c r="E32" s="4"/>
      <c r="F32" s="4"/>
      <c r="G32" s="4"/>
    </row>
    <row r="33" spans="1:7" s="1" customFormat="1" ht="15.75" thickBot="1" x14ac:dyDescent="0.3">
      <c r="A33" s="2" t="s">
        <v>47</v>
      </c>
      <c r="B33" s="2"/>
      <c r="C33" s="16" t="s">
        <v>44</v>
      </c>
      <c r="D33" s="2"/>
      <c r="E33" s="2"/>
      <c r="F33" s="2"/>
      <c r="G33" s="3">
        <v>46194</v>
      </c>
    </row>
    <row r="34" spans="1:7" x14ac:dyDescent="0.25">
      <c r="A34" s="4"/>
      <c r="B34" s="4"/>
      <c r="C34" s="4"/>
      <c r="D34" s="4"/>
      <c r="E34" s="4"/>
      <c r="F34" s="4"/>
      <c r="G34" s="4"/>
    </row>
    <row r="35" spans="1:7" ht="15.75" thickBot="1" x14ac:dyDescent="0.3">
      <c r="A35" s="5" t="s">
        <v>11</v>
      </c>
      <c r="B35" s="4"/>
      <c r="C35" s="4"/>
      <c r="D35" s="4"/>
      <c r="E35" s="4"/>
      <c r="F35" s="4"/>
      <c r="G35" s="4"/>
    </row>
    <row r="36" spans="1:7" ht="47.25" thickBot="1" x14ac:dyDescent="0.4">
      <c r="A36" s="7" t="s">
        <v>3</v>
      </c>
      <c r="B36" s="10" t="s">
        <v>14</v>
      </c>
      <c r="C36" s="10" t="s">
        <v>13</v>
      </c>
      <c r="D36" s="43" t="s">
        <v>57</v>
      </c>
      <c r="E36" s="43"/>
      <c r="F36" s="43" t="s">
        <v>58</v>
      </c>
      <c r="G36" s="44"/>
    </row>
    <row r="37" spans="1:7" x14ac:dyDescent="0.25">
      <c r="A37" s="14" t="s">
        <v>9</v>
      </c>
      <c r="B37" s="12">
        <v>0.69599999999999995</v>
      </c>
      <c r="C37" s="12">
        <v>3.1E-2</v>
      </c>
      <c r="D37" s="40">
        <v>1.8400000000000001E-3</v>
      </c>
      <c r="E37" s="40"/>
      <c r="F37" s="40">
        <v>0.219</v>
      </c>
      <c r="G37" s="41"/>
    </row>
    <row r="38" spans="1:7" ht="30" x14ac:dyDescent="0.25">
      <c r="A38" s="22" t="s">
        <v>37</v>
      </c>
      <c r="B38" s="11">
        <v>0.55600000000000005</v>
      </c>
      <c r="C38" s="11">
        <v>2.47E-2</v>
      </c>
      <c r="D38" s="30">
        <v>1.47E-3</v>
      </c>
      <c r="E38" s="30"/>
      <c r="F38" s="30">
        <v>0.17499999999999999</v>
      </c>
      <c r="G38" s="31"/>
    </row>
    <row r="39" spans="1:7" x14ac:dyDescent="0.25">
      <c r="A39" s="14" t="s">
        <v>23</v>
      </c>
      <c r="B39" s="11">
        <v>5.0000000000000001E-3</v>
      </c>
      <c r="C39" s="11">
        <v>1.5100000000000001E-4</v>
      </c>
      <c r="D39" s="30">
        <v>1.59E-5</v>
      </c>
      <c r="E39" s="30"/>
      <c r="F39" s="30">
        <v>1.3699999999999999E-3</v>
      </c>
      <c r="G39" s="31"/>
    </row>
    <row r="40" spans="1:7" ht="30" x14ac:dyDescent="0.25">
      <c r="A40" s="22" t="s">
        <v>25</v>
      </c>
      <c r="B40" s="11">
        <v>5.8500000000000003E-2</v>
      </c>
      <c r="C40" s="11">
        <v>2.5999999999999999E-3</v>
      </c>
      <c r="D40" s="30">
        <v>1.54E-4</v>
      </c>
      <c r="E40" s="30"/>
      <c r="F40" s="30">
        <v>1.84E-2</v>
      </c>
      <c r="G40" s="31"/>
    </row>
    <row r="41" spans="1:7" x14ac:dyDescent="0.25">
      <c r="A41" s="14" t="s">
        <v>27</v>
      </c>
      <c r="B41" s="11">
        <v>9.6500000000000002E-2</v>
      </c>
      <c r="C41" s="11">
        <v>1.58E-3</v>
      </c>
      <c r="D41" s="30">
        <v>1.84E-4</v>
      </c>
      <c r="E41" s="30"/>
      <c r="F41" s="30">
        <v>1.9599999999999999E-2</v>
      </c>
      <c r="G41" s="31"/>
    </row>
    <row r="42" spans="1:7" ht="30" x14ac:dyDescent="0.25">
      <c r="A42" s="22" t="s">
        <v>49</v>
      </c>
      <c r="B42" s="11">
        <v>0.183</v>
      </c>
      <c r="C42" s="11">
        <v>1.3899999999999999E-2</v>
      </c>
      <c r="D42" s="30">
        <v>4.6000000000000001E-4</v>
      </c>
      <c r="E42" s="30"/>
      <c r="F42" s="30">
        <v>6.1499999999999999E-2</v>
      </c>
      <c r="G42" s="31"/>
    </row>
    <row r="43" spans="1:7" x14ac:dyDescent="0.25">
      <c r="A43" s="14" t="s">
        <v>51</v>
      </c>
      <c r="B43" s="11">
        <v>1.32</v>
      </c>
      <c r="C43" s="11">
        <v>2.8199999999999999E-2</v>
      </c>
      <c r="D43" s="30">
        <v>3.48E-3</v>
      </c>
      <c r="E43" s="30"/>
      <c r="F43" s="30">
        <v>0.432</v>
      </c>
      <c r="G43" s="31"/>
    </row>
    <row r="44" spans="1:7" ht="30" x14ac:dyDescent="0.25">
      <c r="A44" s="22" t="s">
        <v>29</v>
      </c>
      <c r="B44" s="11">
        <v>2.5000000000000001E-2</v>
      </c>
      <c r="C44" s="11">
        <v>1.1100000000000001E-3</v>
      </c>
      <c r="D44" s="30">
        <v>6.6000000000000005E-5</v>
      </c>
      <c r="E44" s="30"/>
      <c r="F44" s="30">
        <v>7.8899999999999994E-3</v>
      </c>
      <c r="G44" s="31"/>
    </row>
    <row r="45" spans="1:7" x14ac:dyDescent="0.25">
      <c r="A45" s="19" t="s">
        <v>30</v>
      </c>
      <c r="B45" s="11">
        <v>1.7000000000000001E-2</v>
      </c>
      <c r="C45" s="11">
        <v>-9.3499999999999996E-4</v>
      </c>
      <c r="D45" s="30">
        <v>3.5500000000000002E-5</v>
      </c>
      <c r="E45" s="30"/>
      <c r="F45" s="30">
        <v>9.2300000000000004E-3</v>
      </c>
      <c r="G45" s="31"/>
    </row>
    <row r="46" spans="1:7" x14ac:dyDescent="0.25">
      <c r="A46" s="14" t="s">
        <v>31</v>
      </c>
      <c r="B46" s="11">
        <v>-1.3</v>
      </c>
      <c r="C46" s="11">
        <v>-7.6100000000000001E-2</v>
      </c>
      <c r="D46" s="30">
        <v>-2.42E-4</v>
      </c>
      <c r="E46" s="30"/>
      <c r="F46" s="30">
        <v>-0.28299999999999997</v>
      </c>
      <c r="G46" s="31"/>
    </row>
    <row r="47" spans="1:7" x14ac:dyDescent="0.25">
      <c r="A47" s="19" t="s">
        <v>33</v>
      </c>
      <c r="B47" s="11">
        <v>-0.443</v>
      </c>
      <c r="C47" s="11">
        <v>-0.1</v>
      </c>
      <c r="D47" s="30">
        <v>-3.8500000000000001E-3</v>
      </c>
      <c r="E47" s="30"/>
      <c r="F47" s="30">
        <v>-0.109</v>
      </c>
      <c r="G47" s="31"/>
    </row>
    <row r="48" spans="1:7" x14ac:dyDescent="0.25">
      <c r="A48" s="19" t="s">
        <v>35</v>
      </c>
      <c r="B48" s="11">
        <v>-0.80200000000000005</v>
      </c>
      <c r="C48" s="11">
        <v>-0.14299999999999999</v>
      </c>
      <c r="D48" s="30">
        <v>-1.5299999999999999E-3</v>
      </c>
      <c r="E48" s="30"/>
      <c r="F48" s="30">
        <v>-0.19900000000000001</v>
      </c>
      <c r="G48" s="31"/>
    </row>
    <row r="49" spans="1:7" x14ac:dyDescent="0.25">
      <c r="A49" s="19" t="s">
        <v>54</v>
      </c>
      <c r="B49" s="11">
        <v>-11</v>
      </c>
      <c r="C49" s="11">
        <v>-0.27400000000000002</v>
      </c>
      <c r="D49" s="30">
        <v>-0.13800000000000001</v>
      </c>
      <c r="E49" s="30"/>
      <c r="F49" s="30">
        <v>-2.42</v>
      </c>
      <c r="G49" s="31"/>
    </row>
    <row r="50" spans="1:7" x14ac:dyDescent="0.25">
      <c r="A50" s="19" t="s">
        <v>38</v>
      </c>
      <c r="B50" s="11">
        <v>-10.1</v>
      </c>
      <c r="C50" s="11">
        <v>-5.32</v>
      </c>
      <c r="D50" s="30">
        <v>-0.16800000000000001</v>
      </c>
      <c r="E50" s="30"/>
      <c r="F50" s="30">
        <v>-2.5299999999999998</v>
      </c>
      <c r="G50" s="31"/>
    </row>
    <row r="51" spans="1:7" ht="15.75" thickBot="1" x14ac:dyDescent="0.3">
      <c r="A51" s="19" t="s">
        <v>39</v>
      </c>
      <c r="B51" s="11">
        <v>-8.92</v>
      </c>
      <c r="C51" s="11">
        <v>-0.252</v>
      </c>
      <c r="D51" s="30">
        <v>-4.1300000000000003E-2</v>
      </c>
      <c r="E51" s="30"/>
      <c r="F51" s="30">
        <v>-2.2400000000000002</v>
      </c>
      <c r="G51" s="31"/>
    </row>
    <row r="52" spans="1:7" ht="15.75" thickBot="1" x14ac:dyDescent="0.3">
      <c r="A52" s="7" t="s">
        <v>15</v>
      </c>
      <c r="B52" s="13">
        <v>-29.6</v>
      </c>
      <c r="C52" s="13">
        <v>-6.06</v>
      </c>
      <c r="D52" s="39">
        <v>-0.34499999999999997</v>
      </c>
      <c r="E52" s="39"/>
      <c r="F52" s="39">
        <v>-6.84</v>
      </c>
      <c r="G52" s="42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ht="15.75" thickBot="1" x14ac:dyDescent="0.3">
      <c r="A54" s="5" t="s">
        <v>12</v>
      </c>
      <c r="B54" s="4"/>
      <c r="C54" s="4"/>
      <c r="D54" s="4"/>
      <c r="E54" s="4"/>
      <c r="F54" s="4"/>
      <c r="G54" s="4"/>
    </row>
    <row r="55" spans="1:7" ht="168" customHeight="1" thickBot="1" x14ac:dyDescent="0.3">
      <c r="A55" s="36" t="s">
        <v>56</v>
      </c>
      <c r="B55" s="37"/>
      <c r="C55" s="37"/>
      <c r="D55" s="37"/>
      <c r="E55" s="37"/>
      <c r="F55" s="37"/>
      <c r="G55" s="38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</sheetData>
  <mergeCells count="54">
    <mergeCell ref="D49:E49"/>
    <mergeCell ref="B18:E18"/>
    <mergeCell ref="D50:E50"/>
    <mergeCell ref="F50:G50"/>
    <mergeCell ref="D51:E51"/>
    <mergeCell ref="F51:G51"/>
    <mergeCell ref="B28:E28"/>
    <mergeCell ref="D39:E39"/>
    <mergeCell ref="F39:G39"/>
    <mergeCell ref="D40:E40"/>
    <mergeCell ref="F40:G40"/>
    <mergeCell ref="F38:G38"/>
    <mergeCell ref="B30:E30"/>
    <mergeCell ref="B31:E31"/>
    <mergeCell ref="F42:G42"/>
    <mergeCell ref="D43:E43"/>
    <mergeCell ref="F43:G43"/>
    <mergeCell ref="B20:E20"/>
    <mergeCell ref="B21:E21"/>
    <mergeCell ref="B24:E24"/>
    <mergeCell ref="B26:E26"/>
    <mergeCell ref="B27:E27"/>
    <mergeCell ref="A55:G55"/>
    <mergeCell ref="D48:E48"/>
    <mergeCell ref="D52:E52"/>
    <mergeCell ref="F37:G37"/>
    <mergeCell ref="F46:G46"/>
    <mergeCell ref="F48:G48"/>
    <mergeCell ref="F52:G52"/>
    <mergeCell ref="D41:E41"/>
    <mergeCell ref="F41:G41"/>
    <mergeCell ref="D44:E44"/>
    <mergeCell ref="F44:G44"/>
    <mergeCell ref="D45:E45"/>
    <mergeCell ref="F45:G45"/>
    <mergeCell ref="D47:E47"/>
    <mergeCell ref="F47:G47"/>
    <mergeCell ref="D38:E38"/>
    <mergeCell ref="F49:G49"/>
    <mergeCell ref="B3:C3"/>
    <mergeCell ref="B23:E23"/>
    <mergeCell ref="B22:E22"/>
    <mergeCell ref="D42:E42"/>
    <mergeCell ref="B29:E29"/>
    <mergeCell ref="B8:C8"/>
    <mergeCell ref="D36:E36"/>
    <mergeCell ref="F36:G36"/>
    <mergeCell ref="D37:E37"/>
    <mergeCell ref="D46:E46"/>
    <mergeCell ref="A11:G11"/>
    <mergeCell ref="B16:E16"/>
    <mergeCell ref="B17:E17"/>
    <mergeCell ref="B25:E25"/>
    <mergeCell ref="B19:E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WAW_RU_01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2026-08-06T16:52:53Z</dcterms:modified>
</cp:coreProperties>
</file>