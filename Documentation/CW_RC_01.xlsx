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A6B4C61-B42C-416F-B839-D657D488D047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C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<sst xmlns="http://schemas.openxmlformats.org/spreadsheetml/2006/main" count="52" uniqueCount="42">
  <si>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</si>
  <si>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</si>
  <si>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</si>
  <si>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</si>
  <si>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</si>
  <si>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</si>
  <si>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</si>
  <si>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</si>
  <si>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</si>
  <si>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</si>
  <si>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</si>
  <si>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</si>
  <si>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</si>
  <si>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</si>
  <si>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</si>
  <si>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</si>
  <si>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</si>
  <si>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</si>
  <si>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</si>
  <si>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</si>
  <si>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</si>
  <si>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</si>
  <si>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</si>
  <si>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</si>
  <si>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Construction Wood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</si>
  <si>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</si>
  <si>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</si>
  <si>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</si>
  <si>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</si>
  <si>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</si>
  <si>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</si>
  <si>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</si>
  <si>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CW_RC_01 - Life Cycle Inventory</t>
  </si>
  <si>
    <t>Recycling (Particle Board)</t>
  </si>
  <si>
    <t>1 m³ of construction wood is extracted from the building diesel-driven machinery. Assumed diesel use of 1.4 L/t material based on a report from the Danish Environmental Protection Agency (2022) [1]. The construction wood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1430 MJ/m³ construction wood and electricity recovery of 712 MJ/m³ construction wood from Danish industry EPD for construction wood [2].</t>
  </si>
  <si>
    <t>Avoided wood</t>
  </si>
  <si>
    <t>Incineration of residual</t>
  </si>
  <si>
    <t>m³</t>
  </si>
  <si>
    <t>Sawnwood, softwood, raw, dried (u=20%) {RER}| market for sawnwood, softwood, raw, dried (u=20%) | Cut-off, S</t>
  </si>
  <si>
    <t>EcoInvent database version: 3.12
Impact assessment method: ReCiPe2016 Midpoint (H)
Mass factor determined from Danish industry EPD for construction wood MD-25104-EN [2]
Diesel density assumed to be 0.845 kg/L with an energy density of 42.7 MJ/kg.
EcoInvent process for avoided wood assumes density of 486 kg/m³, so volume has been scaled up to match the weight of the recycled wood.
[1] Miljøstyrelsen (2022): https://www2.mst.dk/Udgiv/publikationer/2022/02/978-87-7038-353-0.pdf
[2] MD-25104-EN: https://www.epddanmark.dk/media/y1wfvthh/md-25104-en.pdf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</si>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</sst>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7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32</v>
      </c>
      <c r="B1" s="2"/>
      <c r="C1" s="24" t="s">
        <v>27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24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25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488</v>
      </c>
      <c r="C6" s="4" t="s">
        <v>26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33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34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17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18</v>
      </c>
      <c r="B15" s="41" t="s">
        <v>29</v>
      </c>
      <c r="C15" s="41"/>
      <c r="D15" s="41"/>
      <c r="E15" s="41"/>
      <c r="F15" s="21">
        <f>B6*1.4/1000*0.845*42.7</f>
        <v>24.650880799999999</v>
      </c>
      <c r="G15" s="13" t="s">
        <v>23</v>
      </c>
    </row>
    <row r="16" spans="1:7" ht="45" customHeight="1" x14ac:dyDescent="0.25">
      <c r="A16" s="19" t="s">
        <v>9</v>
      </c>
      <c r="B16" s="40" t="s">
        <v>16</v>
      </c>
      <c r="C16" s="40"/>
      <c r="D16" s="40"/>
      <c r="E16" s="40"/>
      <c r="F16" s="23">
        <f>B6*100/1000</f>
        <v>48.8</v>
      </c>
      <c r="G16" s="20" t="s">
        <v>28</v>
      </c>
    </row>
    <row r="17" spans="1:7" ht="30.75" customHeight="1" x14ac:dyDescent="0.25">
      <c r="A17" s="28" t="s">
        <v>36</v>
      </c>
      <c r="B17" s="40" t="s">
        <v>31</v>
      </c>
      <c r="C17" s="40"/>
      <c r="D17" s="40"/>
      <c r="E17" s="40"/>
      <c r="F17" s="23">
        <f>B6*0.14</f>
        <v>68.320000000000007</v>
      </c>
      <c r="G17" s="20" t="s">
        <v>10</v>
      </c>
    </row>
    <row r="18" spans="1:7" ht="45.75" customHeight="1" x14ac:dyDescent="0.25">
      <c r="A18" s="19" t="s">
        <v>21</v>
      </c>
      <c r="B18" s="40" t="s">
        <v>22</v>
      </c>
      <c r="C18" s="40"/>
      <c r="D18" s="40"/>
      <c r="E18" s="40"/>
      <c r="F18" s="22">
        <f>-1430*0.14</f>
        <v>-200.20000000000002</v>
      </c>
      <c r="G18" s="20" t="s">
        <v>23</v>
      </c>
    </row>
    <row r="19" spans="1:7" ht="15.75" customHeight="1" x14ac:dyDescent="0.25">
      <c r="A19" s="25" t="s">
        <v>20</v>
      </c>
      <c r="B19" s="42" t="s">
        <v>19</v>
      </c>
      <c r="C19" s="42"/>
      <c r="D19" s="42"/>
      <c r="E19" s="42"/>
      <c r="F19" s="27">
        <f>-712*0.14</f>
        <v>-99.68</v>
      </c>
      <c r="G19" s="26" t="s">
        <v>23</v>
      </c>
    </row>
    <row r="20" spans="1:7" ht="31.5" customHeight="1" thickBot="1" x14ac:dyDescent="0.3">
      <c r="A20" s="8" t="s">
        <v>35</v>
      </c>
      <c r="B20" s="43" t="s">
        <v>38</v>
      </c>
      <c r="C20" s="43"/>
      <c r="D20" s="43"/>
      <c r="E20" s="43"/>
      <c r="F20" s="29">
        <f>-B6/486*0.86</f>
        <v>-0.86353909465020584</v>
      </c>
      <c r="G20" s="14" t="s">
        <v>37</v>
      </c>
    </row>
    <row r="21" spans="1:7" ht="199.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32</v>
      </c>
      <c r="B22" s="2"/>
      <c r="C22" s="24" t="s">
        <v>30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9" t="s">
        <v>3</v>
      </c>
      <c r="B25" s="15" t="s">
        <v>14</v>
      </c>
      <c r="C25" s="15" t="s">
        <v>13</v>
      </c>
      <c r="D25" s="32" t="s">
        <v>40</v>
      </c>
      <c r="E25" s="32"/>
      <c r="F25" s="32" t="s">
        <v>41</v>
      </c>
      <c r="G25" s="33"/>
    </row>
    <row r="26" spans="1:7" x14ac:dyDescent="0.25">
      <c r="A26" s="12" t="s">
        <v>18</v>
      </c>
      <c r="B26" s="17">
        <v>2.5299999999999998</v>
      </c>
      <c r="C26" s="17">
        <v>1.78E-2</v>
      </c>
      <c r="D26" s="34">
        <v>4.0800000000000003E-3</v>
      </c>
      <c r="E26" s="34"/>
      <c r="F26" s="34">
        <v>0.74399999999999999</v>
      </c>
      <c r="G26" s="48"/>
    </row>
    <row r="27" spans="1:7" x14ac:dyDescent="0.25">
      <c r="A27" s="19" t="s">
        <v>9</v>
      </c>
      <c r="B27" s="16">
        <v>9.33</v>
      </c>
      <c r="C27" s="16">
        <v>0.41499999999999998</v>
      </c>
      <c r="D27" s="35">
        <v>2.46E-2</v>
      </c>
      <c r="E27" s="35"/>
      <c r="F27" s="35">
        <v>2.94</v>
      </c>
      <c r="G27" s="49"/>
    </row>
    <row r="28" spans="1:7" ht="30" x14ac:dyDescent="0.25">
      <c r="A28" s="28" t="s">
        <v>36</v>
      </c>
      <c r="B28" s="16">
        <v>1.08</v>
      </c>
      <c r="C28" s="16">
        <v>1.7600000000000001E-2</v>
      </c>
      <c r="D28" s="35">
        <v>9.0900000000000009E-3</v>
      </c>
      <c r="E28" s="35"/>
      <c r="F28" s="35">
        <v>0.219</v>
      </c>
      <c r="G28" s="49"/>
    </row>
    <row r="29" spans="1:7" x14ac:dyDescent="0.25">
      <c r="A29" s="19" t="s">
        <v>21</v>
      </c>
      <c r="B29" s="16">
        <v>-14.6</v>
      </c>
      <c r="C29" s="16">
        <v>-0.85299999999999998</v>
      </c>
      <c r="D29" s="35">
        <v>-4.7299999999999998E-3</v>
      </c>
      <c r="E29" s="35"/>
      <c r="F29" s="35">
        <v>-3.17</v>
      </c>
      <c r="G29" s="49"/>
    </row>
    <row r="30" spans="1:7" x14ac:dyDescent="0.25">
      <c r="A30" s="19" t="s">
        <v>20</v>
      </c>
      <c r="B30" s="16">
        <v>-4.96</v>
      </c>
      <c r="C30" s="16">
        <v>-1.1200000000000001</v>
      </c>
      <c r="D30" s="35">
        <v>-4.3099999999999999E-2</v>
      </c>
      <c r="E30" s="35"/>
      <c r="F30" s="35">
        <v>-1.22</v>
      </c>
      <c r="G30" s="49"/>
    </row>
    <row r="31" spans="1:7" ht="15.75" thickBot="1" x14ac:dyDescent="0.3">
      <c r="A31" s="8" t="s">
        <v>35</v>
      </c>
      <c r="B31" s="16">
        <v>-54.1</v>
      </c>
      <c r="C31" s="16">
        <v>-549</v>
      </c>
      <c r="D31" s="35">
        <v>-0.20300000000000001</v>
      </c>
      <c r="E31" s="35"/>
      <c r="F31" s="35">
        <v>-16</v>
      </c>
      <c r="G31" s="49"/>
    </row>
    <row r="32" spans="1:7" ht="15.75" thickBot="1" x14ac:dyDescent="0.3">
      <c r="A32" s="9" t="s">
        <v>15</v>
      </c>
      <c r="B32" s="18">
        <v>-60.7</v>
      </c>
      <c r="C32" s="18">
        <v>-550</v>
      </c>
      <c r="D32" s="47">
        <v>-0.21299999999999999</v>
      </c>
      <c r="E32" s="47"/>
      <c r="F32" s="47">
        <v>-16.5</v>
      </c>
      <c r="G32" s="50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137.25" customHeight="1" thickBot="1" x14ac:dyDescent="0.3">
      <c r="A35" s="44" t="s">
        <v>39</v>
      </c>
      <c r="B35" s="45"/>
      <c r="C35" s="45"/>
      <c r="D35" s="45"/>
      <c r="E35" s="45"/>
      <c r="F35" s="45"/>
      <c r="G35" s="46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</sheetData>
  <mergeCells count="26"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2026-08-06T16:29:27Z</dcterms:modified>
</cp:coreProperties>
</file>