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A42267E0-8CDA-4C60-A3B6-1F9B326C3DDD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SW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" i="1" l="1"/>
  <c r="F18" i="1"/>
  <c r="F17" i="1"/>
  <c r="F16" i="1"/>
  <c r="F15" i="1"/>
</calcChain>
</file>

<file path=xl/sharedStrings.xml><?xml version="1.0" encoding="utf-8"?>
<sst xmlns="http://schemas.openxmlformats.org/spreadsheetml/2006/main" count="46" uniqueCount="37">
  <si>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</si>
  <si>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</si>
  <si>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</si>
  <si>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</si>
  <si>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</si>
  <si>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</si>
  <si>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</si>
  <si>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</si>
  <si>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</si>
  <si>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</si>
  <si>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</si>
  <si>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</si>
  <si>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</si>
  <si>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</si>
  <si>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</si>
  <si>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</si>
  <si>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</si>
  <si>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</si>
  <si>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</si>
  <si>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1 m³</t>
  </si>
  <si>
    <t>tkm</t>
  </si>
  <si>
    <t>kg/m³</t>
  </si>
  <si>
    <t>Waste mineral wool, for final disposal {Europe without Switzerland}| treatment of waste mineral wool, inert material landfill | Cut-off, S</t>
  </si>
  <si>
    <t>Stone Wool</t>
  </si>
  <si>
    <t>1 m³ of stone wool is extracted from the building by hand. The stone wool is transported 100 km by truck to a facility in Denmark where it is crushed into granulate, which replaces basalt in the production of new stone wool. 2% of the weight is assumed to be binders and additives, which are not recycled. These are transported another 50 km by truck to a municipal landfill site.</t>
  </si>
  <si>
    <t>Crushing</t>
  </si>
  <si>
    <t>Rock crushing {RER}| rock crushing | Cut-off, S</t>
  </si>
  <si>
    <t>Transportation of residual</t>
  </si>
  <si>
    <t>kgkm</t>
  </si>
  <si>
    <t>Landfill of residual</t>
  </si>
  <si>
    <t>Avoided basalt</t>
  </si>
  <si>
    <t>SW_RC_01 - Life Cycle Inventory</t>
  </si>
  <si>
    <t>Basalt {GLO}| market for basalt | Cut-off, S</t>
  </si>
  <si>
    <t>Page 1 of 1</t>
  </si>
  <si>
    <t>Mineral Resource Scarcity 
[kg CU eq]</t>
  </si>
  <si>
    <t>Fossil Resource Scarcity 
[kg oil eq]</t>
  </si>
  <si>
    <t>EcoInvent database version: 3.12
Impact assessment method: ReCiPe2016 Midpoint (H)
Mass factor determined from BR18, appendix 2, table 7 ID #D1540, rounded to 3 significant figures.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</si>
</sst>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64" fontId="0" fillId="3" borderId="0" xfId="0" applyNumberFormat="1" applyFill="1" applyAlignment="1">
      <alignment horizontal="center"/>
    </xf>
    <xf numFmtId="2" fontId="0" fillId="3" borderId="15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64" fontId="0" fillId="3" borderId="10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164" fontId="0" fillId="3" borderId="15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11" fontId="0" fillId="3" borderId="15" xfId="0" applyNumberFormat="1" applyFill="1" applyBorder="1" applyAlignment="1">
      <alignment horizontal="center"/>
    </xf>
    <xf numFmtId="0" fontId="0" fillId="3" borderId="17" xfId="0" applyFill="1" applyBorder="1" applyAlignment="1">
      <alignment vertical="center" wrapText="1"/>
    </xf>
    <xf numFmtId="165" fontId="0" fillId="3" borderId="10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vertical="center" wrapText="1"/>
    </xf>
    <xf numFmtId="0" fontId="0" fillId="3" borderId="15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31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31</v>
      </c>
      <c r="B1" s="2"/>
      <c r="C1" s="31" t="s">
        <v>33</v>
      </c>
      <c r="D1" s="2"/>
      <c r="E1" s="2"/>
      <c r="F1" s="2"/>
      <c r="G1" s="3">
        <v>46190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23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19</v>
      </c>
      <c r="C5" s="4"/>
      <c r="D5" s="4"/>
      <c r="E5" s="4"/>
      <c r="F5" s="4"/>
      <c r="G5" s="4"/>
    </row>
    <row r="6" spans="1:7" x14ac:dyDescent="0.25">
      <c r="A6" s="5" t="s">
        <v>2</v>
      </c>
      <c r="B6" s="20">
        <v>36.5</v>
      </c>
      <c r="C6" s="4" t="s">
        <v>21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3" t="s">
        <v>18</v>
      </c>
      <c r="C8" s="4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62.25" customHeight="1" thickBot="1" x14ac:dyDescent="0.3">
      <c r="A11" s="32" t="s">
        <v>24</v>
      </c>
      <c r="B11" s="33"/>
      <c r="C11" s="33"/>
      <c r="D11" s="33"/>
      <c r="E11" s="33"/>
      <c r="F11" s="33"/>
      <c r="G11" s="3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7" t="s">
        <v>17</v>
      </c>
      <c r="C14" s="47"/>
      <c r="D14" s="47"/>
      <c r="E14" s="47"/>
      <c r="F14" s="10" t="s">
        <v>8</v>
      </c>
      <c r="G14" s="11" t="s">
        <v>1</v>
      </c>
    </row>
    <row r="15" spans="1:7" ht="45" customHeight="1" x14ac:dyDescent="0.25">
      <c r="A15" s="18" t="s">
        <v>9</v>
      </c>
      <c r="B15" s="50" t="s">
        <v>16</v>
      </c>
      <c r="C15" s="50"/>
      <c r="D15" s="50"/>
      <c r="E15" s="50"/>
      <c r="F15" s="21">
        <f>B6*100/1000</f>
        <v>3.65</v>
      </c>
      <c r="G15" s="19" t="s">
        <v>20</v>
      </c>
    </row>
    <row r="16" spans="1:7" x14ac:dyDescent="0.25">
      <c r="A16" s="22" t="s">
        <v>25</v>
      </c>
      <c r="B16" s="48" t="s">
        <v>26</v>
      </c>
      <c r="C16" s="48"/>
      <c r="D16" s="48"/>
      <c r="E16" s="48"/>
      <c r="F16" s="23">
        <f>B6</f>
        <v>36.5</v>
      </c>
      <c r="G16" s="24" t="s">
        <v>10</v>
      </c>
    </row>
    <row r="17" spans="1:7" ht="45" customHeight="1" x14ac:dyDescent="0.25">
      <c r="A17" s="25" t="s">
        <v>27</v>
      </c>
      <c r="B17" s="50" t="s">
        <v>16</v>
      </c>
      <c r="C17" s="50"/>
      <c r="D17" s="50"/>
      <c r="E17" s="50"/>
      <c r="F17" s="26">
        <f>B6*0.02*50</f>
        <v>36.5</v>
      </c>
      <c r="G17" s="19" t="s">
        <v>28</v>
      </c>
    </row>
    <row r="18" spans="1:7" ht="45" customHeight="1" x14ac:dyDescent="0.25">
      <c r="A18" s="22" t="s">
        <v>29</v>
      </c>
      <c r="B18" s="48" t="s">
        <v>22</v>
      </c>
      <c r="C18" s="48"/>
      <c r="D18" s="48"/>
      <c r="E18" s="48"/>
      <c r="F18" s="30">
        <f>B6*0.02</f>
        <v>0.73</v>
      </c>
      <c r="G18" s="24" t="s">
        <v>10</v>
      </c>
    </row>
    <row r="19" spans="1:7" ht="15.75" thickBot="1" x14ac:dyDescent="0.3">
      <c r="A19" s="8" t="s">
        <v>30</v>
      </c>
      <c r="B19" s="49" t="s">
        <v>32</v>
      </c>
      <c r="C19" s="49"/>
      <c r="D19" s="49"/>
      <c r="E19" s="49"/>
      <c r="F19" s="27">
        <f>B6*0.98</f>
        <v>35.769999999999996</v>
      </c>
      <c r="G19" s="12" t="s">
        <v>10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ht="15.75" thickBot="1" x14ac:dyDescent="0.3">
      <c r="A21" s="5" t="s">
        <v>11</v>
      </c>
      <c r="B21" s="4"/>
      <c r="C21" s="4"/>
      <c r="D21" s="4"/>
      <c r="E21" s="4"/>
      <c r="F21" s="4"/>
      <c r="G21" s="4"/>
    </row>
    <row r="22" spans="1:7" ht="47.25" thickBot="1" x14ac:dyDescent="0.4">
      <c r="A22" s="9" t="s">
        <v>3</v>
      </c>
      <c r="B22" s="13" t="s">
        <v>14</v>
      </c>
      <c r="C22" s="13" t="s">
        <v>13</v>
      </c>
      <c r="D22" s="45" t="s">
        <v>34</v>
      </c>
      <c r="E22" s="45"/>
      <c r="F22" s="45" t="s">
        <v>35</v>
      </c>
      <c r="G22" s="46"/>
    </row>
    <row r="23" spans="1:7" x14ac:dyDescent="0.25">
      <c r="A23" s="18" t="s">
        <v>9</v>
      </c>
      <c r="B23" s="15">
        <v>0.69799999999999995</v>
      </c>
      <c r="C23" s="15">
        <v>3.1E-2</v>
      </c>
      <c r="D23" s="37">
        <v>1.8400000000000001E-3</v>
      </c>
      <c r="E23" s="37"/>
      <c r="F23" s="37">
        <v>0.22</v>
      </c>
      <c r="G23" s="38"/>
    </row>
    <row r="24" spans="1:7" x14ac:dyDescent="0.25">
      <c r="A24" s="22" t="s">
        <v>25</v>
      </c>
      <c r="B24" s="28">
        <v>9.8099999999999993E-3</v>
      </c>
      <c r="C24" s="28">
        <v>2.9599999999999998E-4</v>
      </c>
      <c r="D24" s="39">
        <v>3.1199999999999999E-5</v>
      </c>
      <c r="E24" s="39"/>
      <c r="F24" s="39">
        <v>2.6900000000000001E-3</v>
      </c>
      <c r="G24" s="40"/>
    </row>
    <row r="25" spans="1:7" ht="30" x14ac:dyDescent="0.25">
      <c r="A25" s="29" t="s">
        <v>27</v>
      </c>
      <c r="B25" s="28">
        <v>7.3699999999999998E-3</v>
      </c>
      <c r="C25" s="28">
        <v>3.2299999999999999E-4</v>
      </c>
      <c r="D25" s="39">
        <v>1.9599999999999999E-5</v>
      </c>
      <c r="E25" s="39"/>
      <c r="F25" s="39">
        <v>2.2899999999999999E-3</v>
      </c>
      <c r="G25" s="40"/>
    </row>
    <row r="26" spans="1:7" x14ac:dyDescent="0.25">
      <c r="A26" s="22" t="s">
        <v>29</v>
      </c>
      <c r="B26" s="14">
        <v>4.7299999999999998E-3</v>
      </c>
      <c r="C26" s="14">
        <v>-2.5999999999999998E-4</v>
      </c>
      <c r="D26" s="39">
        <v>9.8800000000000003E-6</v>
      </c>
      <c r="E26" s="39"/>
      <c r="F26" s="39">
        <v>2.5699999999999998E-3</v>
      </c>
      <c r="G26" s="40"/>
    </row>
    <row r="27" spans="1:7" ht="15.75" thickBot="1" x14ac:dyDescent="0.3">
      <c r="A27" s="8" t="s">
        <v>30</v>
      </c>
      <c r="B27" s="16">
        <v>-0.61</v>
      </c>
      <c r="C27" s="16">
        <v>-1.28</v>
      </c>
      <c r="D27" s="35">
        <v>-1.5E-3</v>
      </c>
      <c r="E27" s="35"/>
      <c r="F27" s="35">
        <v>-0.17799999999999999</v>
      </c>
      <c r="G27" s="41"/>
    </row>
    <row r="28" spans="1:7" ht="15.75" thickBot="1" x14ac:dyDescent="0.3">
      <c r="A28" s="9" t="s">
        <v>15</v>
      </c>
      <c r="B28" s="17">
        <v>0.11</v>
      </c>
      <c r="C28" s="17">
        <v>-1.25</v>
      </c>
      <c r="D28" s="36">
        <v>3.97E-4</v>
      </c>
      <c r="E28" s="36"/>
      <c r="F28" s="36">
        <v>4.9599999999999998E-2</v>
      </c>
      <c r="G28" s="42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ht="15.75" thickBot="1" x14ac:dyDescent="0.3">
      <c r="A30" s="5" t="s">
        <v>12</v>
      </c>
      <c r="B30" s="4"/>
      <c r="C30" s="4"/>
      <c r="D30" s="4"/>
      <c r="E30" s="4"/>
      <c r="F30" s="4"/>
      <c r="G30" s="4"/>
    </row>
    <row r="31" spans="1:7" ht="72.75" customHeight="1" thickBot="1" x14ac:dyDescent="0.3">
      <c r="A31" s="32" t="s">
        <v>36</v>
      </c>
      <c r="B31" s="33"/>
      <c r="C31" s="33"/>
      <c r="D31" s="33"/>
      <c r="E31" s="33"/>
      <c r="F31" s="33"/>
      <c r="G31" s="34"/>
    </row>
  </sheetData>
  <mergeCells count="23">
    <mergeCell ref="B8:C8"/>
    <mergeCell ref="D22:E22"/>
    <mergeCell ref="F22:G22"/>
    <mergeCell ref="D23:E23"/>
    <mergeCell ref="D26:E26"/>
    <mergeCell ref="A11:G11"/>
    <mergeCell ref="B14:E14"/>
    <mergeCell ref="B16:E16"/>
    <mergeCell ref="B19:E19"/>
    <mergeCell ref="B15:E15"/>
    <mergeCell ref="B17:E17"/>
    <mergeCell ref="B18:E18"/>
    <mergeCell ref="A31:G31"/>
    <mergeCell ref="D27:E27"/>
    <mergeCell ref="D28:E28"/>
    <mergeCell ref="F23:G23"/>
    <mergeCell ref="F26:G26"/>
    <mergeCell ref="F27:G27"/>
    <mergeCell ref="F28:G28"/>
    <mergeCell ref="D24:E24"/>
    <mergeCell ref="D25:E25"/>
    <mergeCell ref="F24:G24"/>
    <mergeCell ref="F25:G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2026-08-06T16:37:11Z</dcterms:modified>
</cp:coreProperties>
</file>