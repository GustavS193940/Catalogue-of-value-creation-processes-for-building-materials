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8644C9F-A4F7-40C8-B5E9-CD9B1AEA5E8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P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<sst xmlns="http://schemas.openxmlformats.org/spreadsheetml/2006/main" count="42" uniqueCount="36">
  <si>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</si>
  <si>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</si>
  <si>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</si>
  <si>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</si>
  <si>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</si>
  <si>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</si>
  <si>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</si>
  <si>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</si>
  <si>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</si>
  <si>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</si>
  <si>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</si>
  <si>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</si>
  <si>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</si>
  <si>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</si>
  <si>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</si>
  <si>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</si>
  <si>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</si>
  <si>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</si>
  <si>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</si>
  <si>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1 kg</t>
  </si>
  <si>
    <t>kg/kg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</si>
  <si>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</si>
  <si>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</si>
  <si>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</si>
  <si>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</si>
  <si>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</si>
  <si>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</si>
  <si>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</si>
  <si>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</si>
  <si>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Steel Profiles</t>
  </si>
  <si>
    <t>SP_RC_01 - Life Cycle Inventory</t>
  </si>
  <si>
    <t>tkm</t>
  </si>
  <si>
    <t>1 kg steel profiles are extracted from the building using electric tools. Assumed electricity use of 0.989 kJ/kg steel based on reference calculation [1]. The steel profiles are transported 1000 km by truck to a facility in Europe where they are melted, replacing virgin steel in the production of new steel.</t>
  </si>
  <si>
    <t>Mineral Resource Scarcity 
[kg CU eq]</t>
  </si>
  <si>
    <t>Fossil Resource Scarcity 
[kg oil eq]</t>
  </si>
  <si>
    <t>EcoInvent database version: 3.12
Impact assessment method: ReCiPe2016 Midpoint (H)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</si>
</sst>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2" t="s">
        <v>18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1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24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6" t="s">
        <v>32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16</v>
      </c>
      <c r="C14" s="39"/>
      <c r="D14" s="39"/>
      <c r="E14" s="39"/>
      <c r="F14" s="10" t="s">
        <v>8</v>
      </c>
      <c r="G14" s="11" t="s">
        <v>1</v>
      </c>
    </row>
    <row r="15" spans="1:7" x14ac:dyDescent="0.25">
      <c r="A15" s="12" t="s">
        <v>17</v>
      </c>
      <c r="B15" s="42" t="s">
        <v>25</v>
      </c>
      <c r="C15" s="42"/>
      <c r="D15" s="42"/>
      <c r="E15" s="42"/>
      <c r="F15" s="26">
        <f>B6*0.989*1000</f>
        <v>989</v>
      </c>
      <c r="G15" s="13" t="s">
        <v>26</v>
      </c>
    </row>
    <row r="16" spans="1:7" ht="45" customHeight="1" x14ac:dyDescent="0.25">
      <c r="A16" s="20" t="s">
        <v>9</v>
      </c>
      <c r="B16" s="40" t="s">
        <v>21</v>
      </c>
      <c r="C16" s="40"/>
      <c r="D16" s="40"/>
      <c r="E16" s="40"/>
      <c r="F16" s="29">
        <f>B6*1000/1000</f>
        <v>1</v>
      </c>
      <c r="G16" s="21" t="s">
        <v>31</v>
      </c>
    </row>
    <row r="17" spans="1:7" ht="46.5" customHeight="1" x14ac:dyDescent="0.25">
      <c r="A17" s="24" t="s">
        <v>23</v>
      </c>
      <c r="B17" s="43" t="s">
        <v>28</v>
      </c>
      <c r="C17" s="43"/>
      <c r="D17" s="43"/>
      <c r="E17" s="43"/>
      <c r="F17" s="27">
        <f>B6</f>
        <v>1</v>
      </c>
      <c r="G17" s="25" t="s">
        <v>10</v>
      </c>
    </row>
    <row r="18" spans="1:7" ht="30.75" customHeight="1" thickBot="1" x14ac:dyDescent="0.3">
      <c r="A18" s="8" t="s">
        <v>22</v>
      </c>
      <c r="B18" s="41" t="s">
        <v>27</v>
      </c>
      <c r="C18" s="41"/>
      <c r="D18" s="41"/>
      <c r="E18" s="41"/>
      <c r="F18" s="23">
        <f>-B6</f>
        <v>-1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14</v>
      </c>
      <c r="C21" s="15" t="s">
        <v>13</v>
      </c>
      <c r="D21" s="32" t="s">
        <v>33</v>
      </c>
      <c r="E21" s="32"/>
      <c r="F21" s="32" t="s">
        <v>34</v>
      </c>
      <c r="G21" s="33"/>
    </row>
    <row r="22" spans="1:7" x14ac:dyDescent="0.25">
      <c r="A22" s="12" t="s">
        <v>17</v>
      </c>
      <c r="B22" s="17">
        <v>4.8999999999999998E-5</v>
      </c>
      <c r="C22" s="17">
        <v>1.11E-5</v>
      </c>
      <c r="D22" s="34">
        <v>4.2599999999999998E-7</v>
      </c>
      <c r="E22" s="34"/>
      <c r="F22" s="34">
        <v>1.2099999999999999E-5</v>
      </c>
      <c r="G22" s="46"/>
    </row>
    <row r="23" spans="1:7" x14ac:dyDescent="0.25">
      <c r="A23" s="20" t="s">
        <v>9</v>
      </c>
      <c r="B23" s="16">
        <v>0.104</v>
      </c>
      <c r="C23" s="16">
        <v>7.9699999999999997E-3</v>
      </c>
      <c r="D23" s="35">
        <v>2.63E-4</v>
      </c>
      <c r="E23" s="35"/>
      <c r="F23" s="35">
        <v>3.5099999999999999E-2</v>
      </c>
      <c r="G23" s="47"/>
    </row>
    <row r="24" spans="1:7" x14ac:dyDescent="0.25">
      <c r="A24" s="20" t="s">
        <v>23</v>
      </c>
      <c r="B24" s="16">
        <v>0.755</v>
      </c>
      <c r="C24" s="16">
        <v>1.61E-2</v>
      </c>
      <c r="D24" s="35">
        <v>1.99E-3</v>
      </c>
      <c r="E24" s="35"/>
      <c r="F24" s="35">
        <v>0.247</v>
      </c>
      <c r="G24" s="47"/>
    </row>
    <row r="25" spans="1:7" ht="15.75" thickBot="1" x14ac:dyDescent="0.3">
      <c r="A25" s="8" t="s">
        <v>22</v>
      </c>
      <c r="B25" s="18">
        <v>-1.88</v>
      </c>
      <c r="C25" s="18">
        <v>-3.95E-2</v>
      </c>
      <c r="D25" s="44">
        <v>-6.4799999999999996E-2</v>
      </c>
      <c r="E25" s="44"/>
      <c r="F25" s="44">
        <v>-0.42099999999999999</v>
      </c>
      <c r="G25" s="48"/>
    </row>
    <row r="26" spans="1:7" ht="15.75" thickBot="1" x14ac:dyDescent="0.3">
      <c r="A26" s="9" t="s">
        <v>15</v>
      </c>
      <c r="B26" s="19">
        <v>-1.02</v>
      </c>
      <c r="C26" s="19">
        <v>-1.55E-2</v>
      </c>
      <c r="D26" s="45">
        <v>-6.2600000000000003E-2</v>
      </c>
      <c r="E26" s="45"/>
      <c r="F26" s="45">
        <v>-0.13900000000000001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6" t="s">
        <v>35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2026-08-06T16:43:30Z</dcterms:modified>
</cp:coreProperties>
</file>