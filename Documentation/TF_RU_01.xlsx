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0F49E233-4A20-4DCE-AC5C-9BCD3C25ABB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TF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7" i="1"/>
  <c r="F16" i="1"/>
  <c r="B6" i="1" l="1"/>
  <c r="F18" i="1"/>
  <c r="F15" i="1" l="1"/>
</calcChain>
</file>

<file path=xl/sharedStrings.xml><?xml version="1.0" encoding="utf-8"?>
<sst xmlns="http://schemas.openxmlformats.org/spreadsheetml/2006/main" count="46" uniqueCount="36">
  <si>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</si>
  <si>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</si>
  <si>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</si>
  <si>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</si>
  <si>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</si>
  <si>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</si>
  <si>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</si>
  <si>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</si>
  <si>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</si>
  <si>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</si>
  <si>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</si>
  <si>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</si>
  <si>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</si>
  <si>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</si>
  <si>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</si>
  <si>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</si>
  <si>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</si>
  <si>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</si>
  <si>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</si>
  <si>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</si>
  <si>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tkm</t>
  </si>
  <si>
    <t>Rock crushing {RER}| rock crushing | Cut-off, S</t>
  </si>
  <si>
    <t>Avoided gravel</t>
  </si>
  <si>
    <t>Gravel, crushed {RoW}| market for gravel, crushed | Cut-off, S</t>
  </si>
  <si>
    <t>Reuse (Individual Bricks)</t>
  </si>
  <si>
    <t>Transportation of residual</t>
  </si>
  <si>
    <t>Crushing of residual</t>
  </si>
  <si>
    <t>Tile Floor</t>
  </si>
  <si>
    <t>TF_RU_01 - Life Cycle Inventory</t>
  </si>
  <si>
    <t>Avoided tiles</t>
  </si>
  <si>
    <t>Ceramic tile {GLO}| market for ceramic tile |Cut-off, S</t>
  </si>
  <si>
    <t>Page 1 of 1</t>
  </si>
  <si>
    <t xml:space="preserve">1 m² tile floor (including adhesive) is extracted from the building by hand. The tile floor is transported 100 km by truck to a facility in Denmark where whole tiles are cleaned by hand for reuse. Assumed 50% of tiles are reusable. The remaining tiles and adhesice are transported another 100 km by truck to a facility in Denmark where it is crushed into rubble, which replaces gravel in road fill.
</t>
  </si>
  <si>
    <t xml:space="preserve">EcoInvent database version: 3.12
Impact assessment method: ReCiPe2016 Midpoint (H)
Mass factor determined from BR18, appendix 2, table 7 ID #G1114, with 3.1 kg tile adhesive per m² floor.
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</si>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</sst>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164" fontId="0" fillId="3" borderId="0" xfId="0" applyNumberFormat="1" applyFill="1" applyAlignment="1">
      <alignment horizontal="center"/>
    </xf>
    <xf numFmtId="2" fontId="0" fillId="3" borderId="15" xfId="0" applyNumberForma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3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28</v>
      </c>
      <c r="B1" s="2"/>
      <c r="C1" s="20" t="s">
        <v>31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18</v>
      </c>
      <c r="C5" s="4"/>
      <c r="D5" s="4"/>
      <c r="E5" s="4"/>
      <c r="F5" s="4"/>
      <c r="G5" s="4"/>
    </row>
    <row r="6" spans="1:7" x14ac:dyDescent="0.25">
      <c r="A6" s="5" t="s">
        <v>2</v>
      </c>
      <c r="B6" s="25">
        <f>20+3.1</f>
        <v>23.1</v>
      </c>
      <c r="C6" s="4" t="s">
        <v>19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9" t="s">
        <v>24</v>
      </c>
      <c r="C8" s="4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61.5" customHeight="1" thickBot="1" x14ac:dyDescent="0.3">
      <c r="A11" s="28" t="s">
        <v>32</v>
      </c>
      <c r="B11" s="29"/>
      <c r="C11" s="29"/>
      <c r="D11" s="29"/>
      <c r="E11" s="29"/>
      <c r="F11" s="29"/>
      <c r="G11" s="3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3" t="s">
        <v>17</v>
      </c>
      <c r="C14" s="43"/>
      <c r="D14" s="43"/>
      <c r="E14" s="43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4" t="s">
        <v>16</v>
      </c>
      <c r="C15" s="44"/>
      <c r="D15" s="44"/>
      <c r="E15" s="44"/>
      <c r="F15" s="26">
        <f>B6*100/1000</f>
        <v>2.31</v>
      </c>
      <c r="G15" s="19" t="s">
        <v>20</v>
      </c>
    </row>
    <row r="16" spans="1:7" ht="45" customHeight="1" x14ac:dyDescent="0.25">
      <c r="A16" s="24" t="s">
        <v>25</v>
      </c>
      <c r="B16" s="44" t="s">
        <v>16</v>
      </c>
      <c r="C16" s="44"/>
      <c r="D16" s="44"/>
      <c r="E16" s="44"/>
      <c r="F16" s="26">
        <f>(20/2+3.1)*100/1000</f>
        <v>1.31</v>
      </c>
      <c r="G16" s="19" t="s">
        <v>20</v>
      </c>
    </row>
    <row r="17" spans="1:7" x14ac:dyDescent="0.25">
      <c r="A17" s="21" t="s">
        <v>26</v>
      </c>
      <c r="B17" s="46" t="s">
        <v>21</v>
      </c>
      <c r="C17" s="46"/>
      <c r="D17" s="46"/>
      <c r="E17" s="46"/>
      <c r="F17" s="27">
        <f>20/2+3.1</f>
        <v>13.1</v>
      </c>
      <c r="G17" s="22" t="s">
        <v>10</v>
      </c>
    </row>
    <row r="18" spans="1:7" ht="32.25" customHeight="1" x14ac:dyDescent="0.25">
      <c r="A18" s="21" t="s">
        <v>22</v>
      </c>
      <c r="B18" s="46" t="s">
        <v>23</v>
      </c>
      <c r="C18" s="46"/>
      <c r="D18" s="46"/>
      <c r="E18" s="46"/>
      <c r="F18" s="27">
        <f>-F17</f>
        <v>-13.1</v>
      </c>
      <c r="G18" s="22" t="s">
        <v>10</v>
      </c>
    </row>
    <row r="19" spans="1:7" ht="15.75" thickBot="1" x14ac:dyDescent="0.3">
      <c r="A19" s="8" t="s">
        <v>29</v>
      </c>
      <c r="B19" s="45" t="s">
        <v>30</v>
      </c>
      <c r="C19" s="45"/>
      <c r="D19" s="45"/>
      <c r="E19" s="45"/>
      <c r="F19" s="23">
        <f>-20/2</f>
        <v>-10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14</v>
      </c>
      <c r="C22" s="13" t="s">
        <v>13</v>
      </c>
      <c r="D22" s="41" t="s">
        <v>34</v>
      </c>
      <c r="E22" s="41"/>
      <c r="F22" s="41" t="s">
        <v>35</v>
      </c>
      <c r="G22" s="42"/>
    </row>
    <row r="23" spans="1:7" x14ac:dyDescent="0.25">
      <c r="A23" s="18" t="s">
        <v>9</v>
      </c>
      <c r="B23" s="15">
        <v>0.442</v>
      </c>
      <c r="C23" s="15">
        <v>1.9599999999999999E-2</v>
      </c>
      <c r="D23" s="33">
        <v>1.16E-3</v>
      </c>
      <c r="E23" s="33"/>
      <c r="F23" s="33">
        <v>0.13900000000000001</v>
      </c>
      <c r="G23" s="34"/>
    </row>
    <row r="24" spans="1:7" ht="30" x14ac:dyDescent="0.25">
      <c r="A24" s="24" t="s">
        <v>25</v>
      </c>
      <c r="B24" s="14">
        <v>0.25</v>
      </c>
      <c r="C24" s="14">
        <v>1.11E-2</v>
      </c>
      <c r="D24" s="37">
        <v>6.6E-4</v>
      </c>
      <c r="E24" s="37"/>
      <c r="F24" s="37">
        <v>7.8899999999999998E-2</v>
      </c>
      <c r="G24" s="38"/>
    </row>
    <row r="25" spans="1:7" x14ac:dyDescent="0.25">
      <c r="A25" s="21" t="s">
        <v>26</v>
      </c>
      <c r="B25" s="14">
        <v>3.5200000000000001E-3</v>
      </c>
      <c r="C25" s="14">
        <v>1.06E-4</v>
      </c>
      <c r="D25" s="37">
        <v>1.1199999999999999E-5</v>
      </c>
      <c r="E25" s="37"/>
      <c r="F25" s="37">
        <v>9.6500000000000004E-4</v>
      </c>
      <c r="G25" s="38"/>
    </row>
    <row r="26" spans="1:7" x14ac:dyDescent="0.25">
      <c r="A26" s="21" t="s">
        <v>22</v>
      </c>
      <c r="B26" s="14">
        <v>-0.24399999999999999</v>
      </c>
      <c r="C26" s="14">
        <v>-2.98E-2</v>
      </c>
      <c r="D26" s="37">
        <v>-1.1100000000000001E-3</v>
      </c>
      <c r="E26" s="37"/>
      <c r="F26" s="37">
        <v>-6.83E-2</v>
      </c>
      <c r="G26" s="38"/>
    </row>
    <row r="27" spans="1:7" ht="15.75" thickBot="1" x14ac:dyDescent="0.3">
      <c r="A27" s="8" t="s">
        <v>29</v>
      </c>
      <c r="B27" s="16">
        <v>-8.14</v>
      </c>
      <c r="C27" s="16">
        <v>-0.61699999999999999</v>
      </c>
      <c r="D27" s="31">
        <v>-0.29699999999999999</v>
      </c>
      <c r="E27" s="31"/>
      <c r="F27" s="31">
        <v>-2.4300000000000002</v>
      </c>
      <c r="G27" s="35"/>
    </row>
    <row r="28" spans="1:7" ht="15.75" thickBot="1" x14ac:dyDescent="0.3">
      <c r="A28" s="9" t="s">
        <v>15</v>
      </c>
      <c r="B28" s="17">
        <v>-7.69</v>
      </c>
      <c r="C28" s="17">
        <v>-0.61599999999999999</v>
      </c>
      <c r="D28" s="32">
        <v>-0.29599999999999999</v>
      </c>
      <c r="E28" s="32"/>
      <c r="F28" s="32">
        <v>-2.2799999999999998</v>
      </c>
      <c r="G28" s="36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ht="15.75" thickBot="1" x14ac:dyDescent="0.3">
      <c r="A30" s="5" t="s">
        <v>12</v>
      </c>
      <c r="B30" s="4"/>
      <c r="C30" s="4"/>
      <c r="D30" s="4"/>
      <c r="E30" s="4"/>
      <c r="F30" s="4"/>
      <c r="G30" s="4"/>
    </row>
    <row r="31" spans="1:7" ht="81.75" customHeight="1" thickBot="1" x14ac:dyDescent="0.3">
      <c r="A31" s="28" t="s">
        <v>33</v>
      </c>
      <c r="B31" s="29"/>
      <c r="C31" s="29"/>
      <c r="D31" s="29"/>
      <c r="E31" s="29"/>
      <c r="F31" s="29"/>
      <c r="G31" s="30"/>
    </row>
  </sheetData>
  <mergeCells count="23">
    <mergeCell ref="B8:C8"/>
    <mergeCell ref="D22:E22"/>
    <mergeCell ref="F22:G22"/>
    <mergeCell ref="D23:E23"/>
    <mergeCell ref="A11:G11"/>
    <mergeCell ref="B14:E14"/>
    <mergeCell ref="B15:E15"/>
    <mergeCell ref="B19:E19"/>
    <mergeCell ref="B17:E17"/>
    <mergeCell ref="B16:E16"/>
    <mergeCell ref="B18:E18"/>
    <mergeCell ref="A31:G31"/>
    <mergeCell ref="D27:E27"/>
    <mergeCell ref="D28:E28"/>
    <mergeCell ref="F23:G23"/>
    <mergeCell ref="F27:G27"/>
    <mergeCell ref="F28:G28"/>
    <mergeCell ref="D24:E24"/>
    <mergeCell ref="F24:G24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2026-08-06T16:45:20Z</dcterms:modified>
</cp:coreProperties>
</file>