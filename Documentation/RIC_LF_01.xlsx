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624DDD4A-9D0A-44FE-B66E-9537CE9B70A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IC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<sst xmlns="http://schemas.openxmlformats.org/spreadsheetml/2006/main" count="38" uniqueCount="33">
  <si>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</si>
  <si>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</si>
  <si>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</si>
  <si>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</si>
  <si>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</si>
  <si>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</si>
  <si>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</si>
  <si>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</si>
  <si>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</si>
  <si>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</si>
  <si>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</si>
  <si>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</si>
  <si>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</si>
  <si>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</si>
  <si>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</si>
  <si>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</si>
  <si>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</si>
  <si>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</si>
  <si>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</si>
  <si>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</si>
  <si>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</si>
  <si>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</si>
  <si>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</si>
  <si>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</si>
  <si>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1 m³</t>
  </si>
  <si>
    <t>kg/m³</t>
  </si>
  <si>
    <t>Waste concrete {Europe without Switzerland}| treatment of waste concrete, inert material landfill | Cut-off, S</t>
  </si>
  <si>
    <t>Reinforced Insitu Concrete</t>
  </si>
  <si>
    <t>RIC_LF_01 - Life Cycle Inventory</t>
  </si>
  <si>
    <t>1 m³ reinforced concrete is extracted from the building using diesel-driven machinery. Assumed diesel use of 1.4 L/t material based on a report from the Danish Environmental Protection Agency [1]. The reinforced concrete is transported 50 km by truck to a municipal landfill site.</t>
  </si>
  <si>
    <t>EcoInvent database version: 3.12
Impact assessment method: ReCiPe2016 Midpoint (H)
Mass factor determined from BR18, appendix 2, table 7 ID #B1441, with 30 kg reinforcement steel per m³.
Diesel density assumed to be 0.845 kg/L with an energy density of 42.7 MJ/kg.
[1] Miljøstyrelsen: https://www2.mst.dk/Udgiv/publikationer/2022/02/978-87-7038-353-0.pdf</t>
  </si>
  <si>
    <t>Fossil Resource Scarcity 
[kg oil eq]</t>
  </si>
  <si>
    <t>Mineral Resource Scarcity 
[kg CU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</si>
</sst>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28</v>
      </c>
      <c r="B1" s="2"/>
      <c r="C1" s="21" t="s">
        <v>22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8" t="s">
        <v>27</v>
      </c>
      <c r="C3" s="29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2267+30</f>
        <v>2297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18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0" t="s">
        <v>29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5" t="s">
        <v>17</v>
      </c>
      <c r="C14" s="45"/>
      <c r="D14" s="45"/>
      <c r="E14" s="45"/>
      <c r="F14" s="9" t="s">
        <v>8</v>
      </c>
      <c r="G14" s="10" t="s">
        <v>1</v>
      </c>
    </row>
    <row r="15" spans="1:7" ht="32.25" customHeight="1" x14ac:dyDescent="0.25">
      <c r="A15" s="11" t="s">
        <v>19</v>
      </c>
      <c r="B15" s="27" t="s">
        <v>20</v>
      </c>
      <c r="C15" s="27"/>
      <c r="D15" s="27"/>
      <c r="E15" s="27"/>
      <c r="F15" s="25">
        <f>B6*1.4/1000*0.845*42.7</f>
        <v>116.03088770000001</v>
      </c>
      <c r="G15" s="12" t="s">
        <v>21</v>
      </c>
    </row>
    <row r="16" spans="1:7" ht="45" customHeight="1" x14ac:dyDescent="0.25">
      <c r="A16" s="19" t="s">
        <v>9</v>
      </c>
      <c r="B16" s="46" t="s">
        <v>16</v>
      </c>
      <c r="C16" s="46"/>
      <c r="D16" s="46"/>
      <c r="E16" s="46"/>
      <c r="F16" s="24">
        <f>B6*50/1000</f>
        <v>114.85</v>
      </c>
      <c r="G16" s="20" t="s">
        <v>23</v>
      </c>
    </row>
    <row r="17" spans="1:7" ht="32.25" customHeight="1" thickBot="1" x14ac:dyDescent="0.3">
      <c r="A17" s="7" t="s">
        <v>18</v>
      </c>
      <c r="B17" s="26" t="s">
        <v>26</v>
      </c>
      <c r="C17" s="26"/>
      <c r="D17" s="26"/>
      <c r="E17" s="26"/>
      <c r="F17" s="23">
        <f>B6</f>
        <v>2297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14</v>
      </c>
      <c r="C20" s="14" t="s">
        <v>13</v>
      </c>
      <c r="D20" s="43" t="s">
        <v>32</v>
      </c>
      <c r="E20" s="43"/>
      <c r="F20" s="43" t="s">
        <v>31</v>
      </c>
      <c r="G20" s="44"/>
    </row>
    <row r="21" spans="1:7" x14ac:dyDescent="0.25">
      <c r="A21" s="11" t="s">
        <v>19</v>
      </c>
      <c r="B21" s="16">
        <v>11.9</v>
      </c>
      <c r="C21" s="16">
        <v>8.3599999999999994E-2</v>
      </c>
      <c r="D21" s="35">
        <v>1.9199999999999998E-2</v>
      </c>
      <c r="E21" s="35"/>
      <c r="F21" s="35">
        <v>3.5</v>
      </c>
      <c r="G21" s="36"/>
    </row>
    <row r="22" spans="1:7" x14ac:dyDescent="0.25">
      <c r="A22" s="19" t="s">
        <v>9</v>
      </c>
      <c r="B22" s="15">
        <v>22</v>
      </c>
      <c r="C22" s="15">
        <v>0.97799999999999998</v>
      </c>
      <c r="D22" s="37">
        <v>5.8000000000000003E-2</v>
      </c>
      <c r="E22" s="37"/>
      <c r="F22" s="37">
        <v>6.93</v>
      </c>
      <c r="G22" s="38"/>
    </row>
    <row r="23" spans="1:7" ht="15.75" thickBot="1" x14ac:dyDescent="0.3">
      <c r="A23" s="7" t="s">
        <v>18</v>
      </c>
      <c r="B23" s="17">
        <v>14.9</v>
      </c>
      <c r="C23" s="17">
        <v>-0.82</v>
      </c>
      <c r="D23" s="33">
        <v>3.1099999999999999E-2</v>
      </c>
      <c r="E23" s="33"/>
      <c r="F23" s="33">
        <v>8.09</v>
      </c>
      <c r="G23" s="39"/>
    </row>
    <row r="24" spans="1:7" ht="15.75" thickBot="1" x14ac:dyDescent="0.3">
      <c r="A24" s="8" t="s">
        <v>15</v>
      </c>
      <c r="B24" s="18">
        <v>48.8</v>
      </c>
      <c r="C24" s="18">
        <v>0.24199999999999999</v>
      </c>
      <c r="D24" s="34">
        <v>0.108</v>
      </c>
      <c r="E24" s="34"/>
      <c r="F24" s="34">
        <v>18.5</v>
      </c>
      <c r="G24" s="40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0" t="s">
        <v>30</v>
      </c>
      <c r="B27" s="31"/>
      <c r="C27" s="31"/>
      <c r="D27" s="31"/>
      <c r="E27" s="31"/>
      <c r="F27" s="31"/>
      <c r="G27" s="32"/>
    </row>
  </sheetData>
  <mergeCells count="18">
    <mergeCell ref="B14:E14"/>
    <mergeCell ref="B16:E16"/>
    <mergeCell ref="B17:E17"/>
    <mergeCell ref="B15:E15"/>
    <mergeCell ref="B3:C3"/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2026-08-06T16:36:28Z</dcterms:modified>
</cp:coreProperties>
</file>