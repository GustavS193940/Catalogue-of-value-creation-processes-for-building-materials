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65573EC-A71A-4EB4-949B-EA253BCCE43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F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<sst xmlns="http://schemas.openxmlformats.org/spreadsheetml/2006/main" count="48" uniqueCount="38">
  <si>
    <t>Material</t>
  </si>
  <si>
    <t>Unit</t>
  </si>
  <si>
    <t>Mass factor</t>
  </si>
  <si>
    <t>Process</t>
  </si>
  <si>
    <t>Declared unit</t>
  </si>
  <si>
    <t>Life Cycle Inventory</t>
  </si>
  <si>
    <t>Scenario</t>
  </si>
  <si>
    <t>Roofing Felt</t>
  </si>
  <si>
    <t>1 m²</t>
  </si>
  <si>
    <t>Scenario description</t>
  </si>
  <si>
    <t>Amount</t>
  </si>
  <si>
    <t>Transportation</t>
  </si>
  <si>
    <t>kg</t>
  </si>
  <si>
    <t>Process contribution</t>
  </si>
  <si>
    <t>Comments</t>
  </si>
  <si>
    <t>kg/m²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</si>
  <si>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</si>
  <si>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</si>
  <si>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</si>
  <si>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</si>
  <si>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</si>
  <si>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</si>
  <si>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</si>
  <si>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kJ</t>
  </si>
  <si>
    <t>kgkm</t>
  </si>
  <si>
    <t>RF_IN_01 - Life Cycle Inventory</t>
  </si>
  <si>
    <t>Incineration</t>
  </si>
  <si>
    <t>Waste bitumen sheet {GLO}| treatment of waste bitumen sheet, municipal incineration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</si>
  <si>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</si>
  <si>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</si>
  <si>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</si>
  <si>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</si>
  <si>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1</t>
  </si>
  <si>
    <t>1 m² of double-layered roofing felt is extracted from the building using electric tools. Assumed electricity use of 0.989 kJ/kg roofing felt based on reference calculation [1]. The roofing felt is transported 50 km by truck to a municipal incineration plant where it is incinerated for energy recovery. Heat recovery of 7.90 MJ/kg roofing felt and electricity recovery of 4.05 MJ/kg roofing felt, calculated as an average from four EPDs from Derbigum [2, 3, 4, 5].</t>
  </si>
  <si>
    <t>Page 2 of 2</t>
  </si>
  <si>
    <t xml:space="preserve">EcoInvent database version: 3.12
Impact assessment method: ReCiPe2016 Midpoint (H)
Mass factor determined from BR18, appendix 2, table 7 ID #D1501, rounded to 3 significant figures.
[1] Reference calculation: https://github.com/GustavS193940/Catalogue-of-value-creation-processes-for-building-materials/blob/b19f72869c2b249eae2a71bcbf9176dfd2070a8f/Electricity%20Reference/README.md
[2] MD-26033-EN: https://www.epddanmark.dk/media/0tdaei3a/md-26033-en.pdf
[3] MD-23004-EN: https://www.epddanmark.dk/media/kj2bw3o4/md-23004-en.pdf
[4] MD-23005-EN: https://www.epddanmark.dk/media/qqenha1i/md-23005-en.pdf
[5] MD-26032-EN: https://www.epddanmark.dk/media/rogh1kiu/md-26032-en.pdf
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</si>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</sst>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8" xfId="0" applyFill="1" applyBorder="1"/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6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6" t="s">
        <v>32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8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15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9" t="s">
        <v>26</v>
      </c>
      <c r="C8" s="4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9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3" t="s">
        <v>33</v>
      </c>
      <c r="B11" s="44"/>
      <c r="C11" s="44"/>
      <c r="D11" s="44"/>
      <c r="E11" s="44"/>
      <c r="F11" s="44"/>
      <c r="G11" s="4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6" t="s">
        <v>20</v>
      </c>
      <c r="C14" s="46"/>
      <c r="D14" s="46"/>
      <c r="E14" s="46"/>
      <c r="F14" s="10" t="s">
        <v>10</v>
      </c>
      <c r="G14" s="11" t="s">
        <v>1</v>
      </c>
    </row>
    <row r="15" spans="1:7" x14ac:dyDescent="0.25">
      <c r="A15" s="12" t="s">
        <v>21</v>
      </c>
      <c r="B15" s="48" t="s">
        <v>22</v>
      </c>
      <c r="C15" s="48"/>
      <c r="D15" s="48"/>
      <c r="E15" s="48"/>
      <c r="F15" s="22">
        <f>B6*0.989</f>
        <v>12.6592</v>
      </c>
      <c r="G15" s="13" t="s">
        <v>23</v>
      </c>
    </row>
    <row r="16" spans="1:7" ht="45" customHeight="1" x14ac:dyDescent="0.25">
      <c r="A16" s="20" t="s">
        <v>11</v>
      </c>
      <c r="B16" s="47" t="s">
        <v>19</v>
      </c>
      <c r="C16" s="47"/>
      <c r="D16" s="47"/>
      <c r="E16" s="47"/>
      <c r="F16" s="23">
        <f>B6*50</f>
        <v>640</v>
      </c>
      <c r="G16" s="21" t="s">
        <v>24</v>
      </c>
    </row>
    <row r="17" spans="1:7" ht="30.75" customHeight="1" x14ac:dyDescent="0.25">
      <c r="A17" s="20" t="s">
        <v>26</v>
      </c>
      <c r="B17" s="47" t="s">
        <v>27</v>
      </c>
      <c r="C17" s="47"/>
      <c r="D17" s="47"/>
      <c r="E17" s="47"/>
      <c r="F17" s="24">
        <f>B6</f>
        <v>12.8</v>
      </c>
      <c r="G17" s="21" t="s">
        <v>12</v>
      </c>
    </row>
    <row r="18" spans="1:7" ht="45.75" customHeight="1" x14ac:dyDescent="0.25">
      <c r="A18" s="20" t="s">
        <v>29</v>
      </c>
      <c r="B18" s="47" t="s">
        <v>30</v>
      </c>
      <c r="C18" s="47"/>
      <c r="D18" s="47"/>
      <c r="E18" s="47"/>
      <c r="F18" s="23">
        <f>-7.9*B6</f>
        <v>-101.12</v>
      </c>
      <c r="G18" s="21" t="s">
        <v>31</v>
      </c>
    </row>
    <row r="19" spans="1:7" ht="15.75" customHeight="1" thickBot="1" x14ac:dyDescent="0.3">
      <c r="A19" s="8" t="s">
        <v>28</v>
      </c>
      <c r="B19" s="49" t="s">
        <v>22</v>
      </c>
      <c r="C19" s="49"/>
      <c r="D19" s="49"/>
      <c r="E19" s="49"/>
      <c r="F19" s="25">
        <f>-4.05*B6</f>
        <v>-51.84</v>
      </c>
      <c r="G19" s="14" t="s">
        <v>31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13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5" t="s">
        <v>17</v>
      </c>
      <c r="C22" s="15" t="s">
        <v>16</v>
      </c>
      <c r="D22" s="41" t="s">
        <v>36</v>
      </c>
      <c r="E22" s="41"/>
      <c r="F22" s="41" t="s">
        <v>37</v>
      </c>
      <c r="G22" s="42"/>
    </row>
    <row r="23" spans="1:7" x14ac:dyDescent="0.25">
      <c r="A23" s="12" t="s">
        <v>21</v>
      </c>
      <c r="B23" s="17">
        <v>6.29E-4</v>
      </c>
      <c r="C23" s="17">
        <v>1.4200000000000001E-4</v>
      </c>
      <c r="D23" s="33">
        <v>5.48E-6</v>
      </c>
      <c r="E23" s="33"/>
      <c r="F23" s="33">
        <v>1.55E-4</v>
      </c>
      <c r="G23" s="34"/>
    </row>
    <row r="24" spans="1:7" x14ac:dyDescent="0.25">
      <c r="A24" s="20" t="s">
        <v>11</v>
      </c>
      <c r="B24" s="16">
        <v>0.122</v>
      </c>
      <c r="C24" s="16">
        <v>5.4400000000000004E-3</v>
      </c>
      <c r="D24" s="35">
        <v>3.2299999999999999E-4</v>
      </c>
      <c r="E24" s="35"/>
      <c r="F24" s="35">
        <v>3.8600000000000002E-2</v>
      </c>
      <c r="G24" s="36"/>
    </row>
    <row r="25" spans="1:7" x14ac:dyDescent="0.25">
      <c r="A25" s="20" t="s">
        <v>26</v>
      </c>
      <c r="B25" s="16">
        <v>30.4</v>
      </c>
      <c r="C25" s="16">
        <v>1.78E-2</v>
      </c>
      <c r="D25" s="35">
        <v>3.5500000000000002E-3</v>
      </c>
      <c r="E25" s="35"/>
      <c r="F25" s="35">
        <v>0.17</v>
      </c>
      <c r="G25" s="36"/>
    </row>
    <row r="26" spans="1:7" x14ac:dyDescent="0.25">
      <c r="A26" s="20" t="s">
        <v>29</v>
      </c>
      <c r="B26" s="16">
        <v>-7.37</v>
      </c>
      <c r="C26" s="16">
        <v>-0.43099999999999999</v>
      </c>
      <c r="D26" s="35">
        <v>-2.3900000000000002E-3</v>
      </c>
      <c r="E26" s="35"/>
      <c r="F26" s="35">
        <v>-1.6</v>
      </c>
      <c r="G26" s="36"/>
    </row>
    <row r="27" spans="1:7" ht="15.75" thickBot="1" x14ac:dyDescent="0.3">
      <c r="A27" s="8" t="s">
        <v>28</v>
      </c>
      <c r="B27" s="18">
        <v>-2.57</v>
      </c>
      <c r="C27" s="18">
        <v>-0.58099999999999996</v>
      </c>
      <c r="D27" s="31">
        <v>-2.23E-2</v>
      </c>
      <c r="E27" s="31"/>
      <c r="F27" s="31">
        <v>-0.63400000000000001</v>
      </c>
      <c r="G27" s="37"/>
    </row>
    <row r="28" spans="1:7" ht="15.75" thickBot="1" x14ac:dyDescent="0.3">
      <c r="A28" s="9" t="s">
        <v>18</v>
      </c>
      <c r="B28" s="19">
        <v>20.6</v>
      </c>
      <c r="C28" s="19">
        <v>-0.98799999999999999</v>
      </c>
      <c r="D28" s="32">
        <v>-2.0799999999999999E-2</v>
      </c>
      <c r="E28" s="32"/>
      <c r="F28" s="32">
        <v>-2.0299999999999998</v>
      </c>
      <c r="G28" s="38"/>
    </row>
    <row r="29" spans="1:7" ht="107.2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25</v>
      </c>
      <c r="B30" s="2"/>
      <c r="C30" s="26" t="s">
        <v>34</v>
      </c>
      <c r="D30" s="2"/>
      <c r="E30" s="2"/>
      <c r="F30" s="2"/>
      <c r="G30" s="3">
        <v>46190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14</v>
      </c>
      <c r="B32" s="4"/>
      <c r="C32" s="4"/>
      <c r="D32" s="4"/>
      <c r="E32" s="4"/>
      <c r="F32" s="4"/>
      <c r="G32" s="4"/>
    </row>
    <row r="33" spans="1:7" ht="168.75" customHeight="1" thickBot="1" x14ac:dyDescent="0.3">
      <c r="A33" s="28" t="s">
        <v>35</v>
      </c>
      <c r="B33" s="29"/>
      <c r="C33" s="29"/>
      <c r="D33" s="29"/>
      <c r="E33" s="29"/>
      <c r="F33" s="29"/>
      <c r="G33" s="30"/>
    </row>
    <row r="34" spans="1:7" x14ac:dyDescent="0.25">
      <c r="A34" s="27"/>
      <c r="B34" s="27"/>
      <c r="C34" s="27"/>
      <c r="D34" s="27"/>
      <c r="E34" s="27"/>
      <c r="F34" s="27"/>
      <c r="G34" s="27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6:E16"/>
    <mergeCell ref="B17:E17"/>
    <mergeCell ref="B15:E15"/>
    <mergeCell ref="B19:E19"/>
    <mergeCell ref="B18:E18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2026-08-06T16:30:42Z</dcterms:modified>
</cp:coreProperties>
</file>