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Masters\LCI\"/>
    </mc:Choice>
  </mc:AlternateContent>
  <xr:revisionPtr revIDLastSave="0" documentId="13_ncr:1_{87D64DC6-7818-4BDC-AC50-BACAE6BFF486}" xr6:coauthVersionLast="47" xr6:coauthVersionMax="47" xr10:uidLastSave="{00000000-0000-0000-0000-000000000000}"/>
  <bookViews>
    <workbookView xWindow="-120" yWindow="-120" windowWidth="29040" windowHeight="15840" xr2:uid="{DB1217F5-3EDD-4456-A020-305ADC7C8E64}"/>
  </bookViews>
  <sheets>
    <sheet name="CWE_RC_02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21" i="1" l="1"/>
  <c r="F19" i="1"/>
  <c r="F18" i="1"/>
  <c r="B6" i="1"/>
  <c r="F17" i="1" s="1"/>
  <c r="F16" i="1" l="1"/>
  <c r="F15" i="1" l="1"/>
</calcChain>
</file>

<file path=xl/sharedStrings.xml><?xml version="1.0" encoding="utf-8"?>
<sst xmlns="http://schemas.openxmlformats.org/spreadsheetml/2006/main" count="56" uniqueCount="43">
  <si>
    <t>Material</t>
  </si>
  <si>
    <t>Unit</t>
  </si>
  <si>
    <t>Mass factor</t>
  </si>
  <si>
    <t>Process</t>
  </si>
  <si>
    <t>Declared unit</t>
  </si>
  <si>
    <t>Life Cycle Inventory</t>
  </si>
  <si>
    <t>Scenario</t>
  </si>
  <si>
    <t>Scenario description</t>
  </si>
  <si>
    <t>Amount</t>
  </si>
  <si>
    <t>Transportation</t>
  </si>
  <si>
    <t>kg</t>
  </si>
  <si>
    <t>Process contribution</t>
  </si>
  <si>
    <t>Comments</t>
  </si>
  <si>
    <t>Land Use 
[m²a crop eq]</t>
  </si>
  <si>
    <r>
      <t>Global Warming 
[kg CO</t>
    </r>
    <r>
      <rPr>
        <b/>
        <vertAlign val="subscript"/>
        <sz val="11"/>
        <color theme="1"/>
        <rFont val="Aptos Narrow"/>
        <family val="2"/>
        <scheme val="minor"/>
      </rPr>
      <t>2</t>
    </r>
    <r>
      <rPr>
        <b/>
        <sz val="11"/>
        <color theme="1"/>
        <rFont val="Aptos Narrow"/>
        <family val="2"/>
        <scheme val="minor"/>
      </rPr>
      <t xml:space="preserve"> eq]</t>
    </r>
  </si>
  <si>
    <t>Total of all processes</t>
  </si>
  <si>
    <t>Transport, freight, lorry 16-32 metric ton, euro6 {RER}| market for transport, freight, lorry 16-32 metric ton, EURO6 | Cut-off, S</t>
  </si>
  <si>
    <t>EcoInvent process</t>
  </si>
  <si>
    <t>Disassembly</t>
  </si>
  <si>
    <t>Diesel, burned in building machine {GLO}| market for diesel, burned in building machine | Cut-off, S</t>
  </si>
  <si>
    <t>MJ</t>
  </si>
  <si>
    <t>tkm</t>
  </si>
  <si>
    <t>1 m³</t>
  </si>
  <si>
    <t>kg/m³</t>
  </si>
  <si>
    <t>Crushing</t>
  </si>
  <si>
    <t>Rock crushing {RER}| rock crushing | Cut-off, S</t>
  </si>
  <si>
    <t>Avoided gravel</t>
  </si>
  <si>
    <t>Gravel, crushed {RoW}| market for gravel, crushed | Cut-off, S</t>
  </si>
  <si>
    <t>Transport, freight, lorry, &gt;32 metric ton, diesel, EURO 6 {RER}| market for transport, freight, lorry, &gt;32 metric ton, diesel, EURO 6 | Cut-off, S</t>
  </si>
  <si>
    <t>Energy and auxilliary inputs, metal working machine {RER}| energy and auxilliary, metal working machine, with process heat from natural gas | Cut-off, S</t>
  </si>
  <si>
    <t>Avoided steel</t>
  </si>
  <si>
    <t>Steel, unalloyed {GLO}| market for steel, unalloyed | Cut-off, S</t>
  </si>
  <si>
    <t>Transportation of reinforcement</t>
  </si>
  <si>
    <t>Melting of reinforcement</t>
  </si>
  <si>
    <t>Page 2 of 2</t>
  </si>
  <si>
    <t>Page 1 of 2</t>
  </si>
  <si>
    <t>Concrete Wall Element</t>
  </si>
  <si>
    <t>CWE_RC_02 - Life Cycle Inventory</t>
  </si>
  <si>
    <t>Recycling (Road Fill)</t>
  </si>
  <si>
    <t>1 m³ concrete wall element is extracted from the building using diesel-driven machinery. Assumed diesel use of 1.4 L/t material based on a report from the Danish Environmental Protection Agency [1]. The concrete wall element is transported 100 km by truck to a facility in Denmark where it is crushed into rubble, which replaces gravel in road fill. The reinforcement steel is then transported another 1000 km by truck to a facility in Europe where it is melted, replacing virgin steel in the production of new steel.</t>
  </si>
  <si>
    <t>EcoInvent database version: 3.12
Impact assessment method: ReCiPe2016 Midpoint (H)
Mass factor determined from BR18, appendix 2, table 7 ID #B1441, with 60 kg reinforcement steel per m³.
Diesel density assumed to be 0.845 kg/L with an energy density of 42.7 MJ/kg.
[1] Miljøstyrelsen: https://www2.mst.dk/Udgiv/publikationer/2022/02/978-87-7038-353-0.pdf</t>
  </si>
  <si>
    <t>Mineral Resource Scarcity 
[kg CU eq]</t>
  </si>
  <si>
    <t>Fossil Resource Scarcity 
[kg oil eq]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</si>
</sst>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vertAlign val="subscript"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 tint="-0.499984740745262"/>
        <bgColor indexed="64"/>
      </patternFill>
    </fill>
    <fill>
      <patternFill patternType="solid">
        <fgColor theme="0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5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14" fontId="1" fillId="2" borderId="1" xfId="0" applyNumberFormat="1" applyFont="1" applyFill="1" applyBorder="1"/>
    <xf numFmtId="0" fontId="0" fillId="3" borderId="0" xfId="0" applyFill="1"/>
    <xf numFmtId="0" fontId="1" fillId="3" borderId="0" xfId="0" applyFont="1" applyFill="1"/>
    <xf numFmtId="0" fontId="0" fillId="3" borderId="0" xfId="0" applyFill="1" applyAlignment="1">
      <alignment horizontal="center"/>
    </xf>
    <xf numFmtId="0" fontId="0" fillId="3" borderId="5" xfId="0" applyFill="1" applyBorder="1" applyAlignment="1">
      <alignment vertical="center"/>
    </xf>
    <xf numFmtId="0" fontId="1" fillId="3" borderId="2" xfId="0" applyFont="1" applyFill="1" applyBorder="1"/>
    <xf numFmtId="0" fontId="1" fillId="3" borderId="4" xfId="0" applyFont="1" applyFill="1" applyBorder="1"/>
    <xf numFmtId="0" fontId="1" fillId="3" borderId="3" xfId="0" applyFont="1" applyFill="1" applyBorder="1"/>
    <xf numFmtId="0" fontId="0" fillId="3" borderId="7" xfId="0" applyFill="1" applyBorder="1" applyAlignment="1">
      <alignment vertical="center"/>
    </xf>
    <xf numFmtId="0" fontId="0" fillId="3" borderId="9" xfId="0" applyFill="1" applyBorder="1" applyAlignment="1">
      <alignment vertical="center"/>
    </xf>
    <xf numFmtId="0" fontId="0" fillId="3" borderId="6" xfId="0" applyFill="1" applyBorder="1" applyAlignment="1">
      <alignment vertical="center"/>
    </xf>
    <xf numFmtId="0" fontId="1" fillId="3" borderId="4" xfId="0" applyFont="1" applyFill="1" applyBorder="1" applyAlignment="1">
      <alignment wrapText="1"/>
    </xf>
    <xf numFmtId="11" fontId="0" fillId="3" borderId="10" xfId="0" applyNumberFormat="1" applyFill="1" applyBorder="1" applyAlignment="1">
      <alignment horizontal="center"/>
    </xf>
    <xf numFmtId="11" fontId="0" fillId="3" borderId="8" xfId="0" applyNumberFormat="1" applyFill="1" applyBorder="1" applyAlignment="1">
      <alignment horizontal="center"/>
    </xf>
    <xf numFmtId="11" fontId="0" fillId="3" borderId="0" xfId="0" applyNumberFormat="1" applyFill="1" applyAlignment="1">
      <alignment horizontal="center"/>
    </xf>
    <xf numFmtId="11" fontId="0" fillId="3" borderId="4" xfId="0" applyNumberFormat="1" applyFill="1" applyBorder="1" applyAlignment="1">
      <alignment horizontal="center"/>
    </xf>
    <xf numFmtId="0" fontId="0" fillId="3" borderId="14" xfId="0" applyFill="1" applyBorder="1" applyAlignment="1">
      <alignment vertical="center"/>
    </xf>
    <xf numFmtId="0" fontId="0" fillId="3" borderId="16" xfId="0" applyFill="1" applyBorder="1" applyAlignment="1">
      <alignment vertical="center"/>
    </xf>
    <xf numFmtId="0" fontId="1" fillId="2" borderId="1" xfId="0" applyFont="1" applyFill="1" applyBorder="1" applyAlignment="1">
      <alignment horizontal="center"/>
    </xf>
    <xf numFmtId="1" fontId="0" fillId="3" borderId="0" xfId="0" applyNumberFormat="1" applyFill="1" applyAlignment="1">
      <alignment horizontal="center"/>
    </xf>
    <xf numFmtId="1" fontId="0" fillId="3" borderId="1" xfId="0" applyNumberFormat="1" applyFill="1" applyBorder="1" applyAlignment="1">
      <alignment vertical="center"/>
    </xf>
    <xf numFmtId="1" fontId="0" fillId="3" borderId="15" xfId="0" applyNumberFormat="1" applyFill="1" applyBorder="1" applyAlignment="1">
      <alignment vertical="center"/>
    </xf>
    <xf numFmtId="1" fontId="0" fillId="3" borderId="8" xfId="0" applyNumberFormat="1" applyFill="1" applyBorder="1" applyAlignment="1">
      <alignment vertical="center"/>
    </xf>
    <xf numFmtId="0" fontId="0" fillId="3" borderId="17" xfId="0" applyFill="1" applyBorder="1" applyAlignment="1">
      <alignment vertical="center"/>
    </xf>
    <xf numFmtId="1" fontId="0" fillId="3" borderId="10" xfId="0" applyNumberFormat="1" applyFill="1" applyBorder="1" applyAlignment="1">
      <alignment vertical="center"/>
    </xf>
    <xf numFmtId="0" fontId="0" fillId="3" borderId="11" xfId="0" applyFill="1" applyBorder="1" applyAlignment="1">
      <alignment vertical="center"/>
    </xf>
    <xf numFmtId="164" fontId="0" fillId="3" borderId="15" xfId="0" applyNumberFormat="1" applyFill="1" applyBorder="1" applyAlignment="1">
      <alignment vertical="center"/>
    </xf>
    <xf numFmtId="0" fontId="0" fillId="3" borderId="14" xfId="0" applyFill="1" applyBorder="1" applyAlignment="1">
      <alignment vertical="center" wrapText="1"/>
    </xf>
    <xf numFmtId="0" fontId="0" fillId="3" borderId="17" xfId="0" applyFill="1" applyBorder="1" applyAlignment="1">
      <alignment vertical="center" wrapText="1"/>
    </xf>
    <xf numFmtId="164" fontId="0" fillId="3" borderId="10" xfId="0" applyNumberFormat="1" applyFill="1" applyBorder="1" applyAlignment="1">
      <alignment vertical="center"/>
    </xf>
    <xf numFmtId="11" fontId="0" fillId="3" borderId="10" xfId="0" applyNumberFormat="1" applyFill="1" applyBorder="1" applyAlignment="1">
      <alignment horizontal="center"/>
    </xf>
    <xf numFmtId="11" fontId="0" fillId="3" borderId="11" xfId="0" applyNumberFormat="1" applyFill="1" applyBorder="1" applyAlignment="1">
      <alignment horizontal="center"/>
    </xf>
    <xf numFmtId="0" fontId="0" fillId="3" borderId="8" xfId="0" applyFill="1" applyBorder="1" applyAlignment="1">
      <alignment wrapText="1"/>
    </xf>
    <xf numFmtId="0" fontId="0" fillId="3" borderId="10" xfId="0" applyFill="1" applyBorder="1" applyAlignment="1">
      <alignment wrapText="1"/>
    </xf>
    <xf numFmtId="0" fontId="0" fillId="3" borderId="1" xfId="0" applyFill="1" applyBorder="1" applyAlignment="1">
      <alignment wrapText="1"/>
    </xf>
    <xf numFmtId="0" fontId="0" fillId="3" borderId="15" xfId="0" applyFill="1" applyBorder="1" applyAlignment="1">
      <alignment wrapText="1"/>
    </xf>
    <xf numFmtId="0" fontId="0" fillId="3" borderId="2" xfId="0" applyFill="1" applyBorder="1" applyAlignment="1">
      <alignment horizontal="left"/>
    </xf>
    <xf numFmtId="0" fontId="0" fillId="3" borderId="3" xfId="0" applyFill="1" applyBorder="1" applyAlignment="1">
      <alignment horizontal="left"/>
    </xf>
    <xf numFmtId="0" fontId="0" fillId="3" borderId="2" xfId="0" applyFill="1" applyBorder="1" applyAlignment="1">
      <alignment vertical="top" wrapText="1"/>
    </xf>
    <xf numFmtId="0" fontId="0" fillId="3" borderId="4" xfId="0" applyFill="1" applyBorder="1" applyAlignment="1">
      <alignment vertical="top" wrapText="1"/>
    </xf>
    <xf numFmtId="0" fontId="0" fillId="3" borderId="3" xfId="0" applyFill="1" applyBorder="1" applyAlignment="1">
      <alignment vertical="top" wrapText="1"/>
    </xf>
    <xf numFmtId="11" fontId="0" fillId="3" borderId="12" xfId="0" applyNumberFormat="1" applyFill="1" applyBorder="1" applyAlignment="1">
      <alignment horizontal="center"/>
    </xf>
    <xf numFmtId="11" fontId="0" fillId="3" borderId="4" xfId="0" applyNumberFormat="1" applyFill="1" applyBorder="1" applyAlignment="1">
      <alignment horizontal="center"/>
    </xf>
    <xf numFmtId="11" fontId="0" fillId="3" borderId="8" xfId="0" applyNumberFormat="1" applyFill="1" applyBorder="1" applyAlignment="1">
      <alignment horizontal="center"/>
    </xf>
    <xf numFmtId="11" fontId="0" fillId="3" borderId="9" xfId="0" applyNumberFormat="1" applyFill="1" applyBorder="1" applyAlignment="1">
      <alignment horizontal="center"/>
    </xf>
    <xf numFmtId="11" fontId="0" fillId="3" borderId="13" xfId="0" applyNumberFormat="1" applyFill="1" applyBorder="1" applyAlignment="1">
      <alignment horizontal="center"/>
    </xf>
    <xf numFmtId="11" fontId="0" fillId="3" borderId="3" xfId="0" applyNumberFormat="1" applyFill="1" applyBorder="1" applyAlignment="1">
      <alignment horizontal="center"/>
    </xf>
    <xf numFmtId="0" fontId="0" fillId="3" borderId="2" xfId="0" applyFill="1" applyBorder="1"/>
    <xf numFmtId="0" fontId="0" fillId="3" borderId="3" xfId="0" applyFill="1" applyBorder="1"/>
    <xf numFmtId="0" fontId="1" fillId="3" borderId="4" xfId="0" applyFont="1" applyFill="1" applyBorder="1" applyAlignment="1">
      <alignment wrapText="1"/>
    </xf>
    <xf numFmtId="0" fontId="1" fillId="3" borderId="3" xfId="0" applyFont="1" applyFill="1" applyBorder="1" applyAlignment="1">
      <alignment wrapText="1"/>
    </xf>
    <xf numFmtId="0" fontId="1" fillId="3" borderId="4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A9A978-6D1F-46B6-AC10-179C3F630278}">
  <dimension ref="A1:G59"/>
  <sheetViews>
    <sheetView tabSelected="1" view="pageLayout" zoomScaleNormal="100" workbookViewId="0">
      <selection activeCell="A2" sqref="A2"/>
    </sheetView>
  </sheetViews>
  <sheetFormatPr defaultRowHeight="15" x14ac:dyDescent="0.25"/>
  <cols>
    <col min="1" max="1" width="19.5703125" customWidth="1"/>
    <col min="2" max="2" width="16.5703125" bestFit="1" customWidth="1"/>
    <col min="3" max="3" width="12.7109375" customWidth="1"/>
    <col min="7" max="7" width="10.42578125" bestFit="1" customWidth="1"/>
  </cols>
  <sheetData>
    <row r="1" spans="1:7" s="1" customFormat="1" ht="15.75" thickBot="1" x14ac:dyDescent="0.3">
      <c r="A1" s="2" t="s">
        <v>37</v>
      </c>
      <c r="B1" s="2"/>
      <c r="C1" s="21" t="s">
        <v>35</v>
      </c>
      <c r="D1" s="2"/>
      <c r="E1" s="2"/>
      <c r="F1" s="2"/>
      <c r="G1" s="3">
        <v>46191</v>
      </c>
    </row>
    <row r="2" spans="1:7" ht="15.75" thickBot="1" x14ac:dyDescent="0.3">
      <c r="A2" s="4"/>
      <c r="B2" s="4"/>
      <c r="C2" s="4"/>
      <c r="D2" s="4"/>
      <c r="E2" s="4"/>
      <c r="F2" s="4"/>
      <c r="G2" s="4"/>
    </row>
    <row r="3" spans="1:7" ht="15.75" thickBot="1" x14ac:dyDescent="0.3">
      <c r="A3" s="5" t="s">
        <v>0</v>
      </c>
      <c r="B3" s="39" t="s">
        <v>36</v>
      </c>
      <c r="C3" s="40"/>
      <c r="D3" s="4"/>
      <c r="E3" s="4"/>
      <c r="F3" s="4"/>
      <c r="G3" s="4"/>
    </row>
    <row r="4" spans="1:7" x14ac:dyDescent="0.25">
      <c r="A4" s="4"/>
      <c r="B4" s="4"/>
      <c r="C4" s="4"/>
      <c r="D4" s="4"/>
      <c r="E4" s="4"/>
      <c r="F4" s="4"/>
      <c r="G4" s="4"/>
    </row>
    <row r="5" spans="1:7" x14ac:dyDescent="0.25">
      <c r="A5" s="5" t="s">
        <v>4</v>
      </c>
      <c r="B5" s="6" t="s">
        <v>22</v>
      </c>
      <c r="C5" s="4"/>
      <c r="D5" s="4"/>
      <c r="E5" s="4"/>
      <c r="F5" s="4"/>
      <c r="G5" s="4"/>
    </row>
    <row r="6" spans="1:7" x14ac:dyDescent="0.25">
      <c r="A6" s="5" t="s">
        <v>2</v>
      </c>
      <c r="B6" s="22">
        <f>2267+60</f>
        <v>2327</v>
      </c>
      <c r="C6" s="4" t="s">
        <v>23</v>
      </c>
      <c r="D6" s="4"/>
      <c r="E6" s="4"/>
      <c r="F6" s="4"/>
      <c r="G6" s="4"/>
    </row>
    <row r="7" spans="1:7" ht="15.75" thickBot="1" x14ac:dyDescent="0.3">
      <c r="A7" s="4"/>
      <c r="B7" s="4"/>
      <c r="C7" s="4"/>
      <c r="D7" s="4"/>
      <c r="E7" s="4"/>
      <c r="F7" s="4"/>
      <c r="G7" s="4"/>
    </row>
    <row r="8" spans="1:7" ht="15.75" thickBot="1" x14ac:dyDescent="0.3">
      <c r="A8" s="5" t="s">
        <v>6</v>
      </c>
      <c r="B8" s="50" t="s">
        <v>38</v>
      </c>
      <c r="C8" s="51"/>
      <c r="D8" s="4"/>
      <c r="E8" s="4"/>
      <c r="F8" s="4"/>
      <c r="G8" s="4"/>
    </row>
    <row r="9" spans="1:7" x14ac:dyDescent="0.25">
      <c r="A9" s="4"/>
      <c r="B9" s="4"/>
      <c r="C9" s="4"/>
      <c r="D9" s="4"/>
      <c r="E9" s="4"/>
      <c r="F9" s="4"/>
      <c r="G9" s="4"/>
    </row>
    <row r="10" spans="1:7" ht="15.75" thickBot="1" x14ac:dyDescent="0.3">
      <c r="A10" s="5" t="s">
        <v>7</v>
      </c>
      <c r="B10" s="4"/>
      <c r="C10" s="4"/>
      <c r="D10" s="4"/>
      <c r="E10" s="4"/>
      <c r="F10" s="4"/>
      <c r="G10" s="4"/>
    </row>
    <row r="11" spans="1:7" ht="107.25" customHeight="1" thickBot="1" x14ac:dyDescent="0.3">
      <c r="A11" s="41" t="s">
        <v>39</v>
      </c>
      <c r="B11" s="42"/>
      <c r="C11" s="42"/>
      <c r="D11" s="42"/>
      <c r="E11" s="42"/>
      <c r="F11" s="42"/>
      <c r="G11" s="43"/>
    </row>
    <row r="12" spans="1:7" x14ac:dyDescent="0.25">
      <c r="A12" s="4"/>
      <c r="B12" s="4"/>
      <c r="C12" s="4"/>
      <c r="D12" s="4"/>
      <c r="E12" s="4"/>
      <c r="F12" s="4"/>
      <c r="G12" s="4"/>
    </row>
    <row r="13" spans="1:7" ht="15.75" thickBot="1" x14ac:dyDescent="0.3">
      <c r="A13" s="5" t="s">
        <v>5</v>
      </c>
      <c r="B13" s="4"/>
      <c r="C13" s="4"/>
      <c r="D13" s="4"/>
      <c r="E13" s="4"/>
      <c r="F13" s="4"/>
      <c r="G13" s="4"/>
    </row>
    <row r="14" spans="1:7" ht="15.75" thickBot="1" x14ac:dyDescent="0.3">
      <c r="A14" s="8" t="s">
        <v>3</v>
      </c>
      <c r="B14" s="54" t="s">
        <v>17</v>
      </c>
      <c r="C14" s="54"/>
      <c r="D14" s="54"/>
      <c r="E14" s="54"/>
      <c r="F14" s="9" t="s">
        <v>8</v>
      </c>
      <c r="G14" s="10" t="s">
        <v>1</v>
      </c>
    </row>
    <row r="15" spans="1:7" ht="32.25" customHeight="1" x14ac:dyDescent="0.25">
      <c r="A15" s="11" t="s">
        <v>18</v>
      </c>
      <c r="B15" s="35" t="s">
        <v>19</v>
      </c>
      <c r="C15" s="35"/>
      <c r="D15" s="35"/>
      <c r="E15" s="35"/>
      <c r="F15" s="25">
        <f>B6*1.4/1000*0.845*42.7</f>
        <v>117.54631069999999</v>
      </c>
      <c r="G15" s="12" t="s">
        <v>20</v>
      </c>
    </row>
    <row r="16" spans="1:7" ht="45" customHeight="1" x14ac:dyDescent="0.25">
      <c r="A16" s="19" t="s">
        <v>9</v>
      </c>
      <c r="B16" s="38" t="s">
        <v>16</v>
      </c>
      <c r="C16" s="38"/>
      <c r="D16" s="38"/>
      <c r="E16" s="38"/>
      <c r="F16" s="24">
        <f>B6*100/1000</f>
        <v>232.7</v>
      </c>
      <c r="G16" s="20" t="s">
        <v>21</v>
      </c>
    </row>
    <row r="17" spans="1:7" x14ac:dyDescent="0.25">
      <c r="A17" s="26" t="s">
        <v>24</v>
      </c>
      <c r="B17" s="36" t="s">
        <v>25</v>
      </c>
      <c r="C17" s="36"/>
      <c r="D17" s="36"/>
      <c r="E17" s="36"/>
      <c r="F17" s="27">
        <f>B6</f>
        <v>2327</v>
      </c>
      <c r="G17" s="28" t="s">
        <v>10</v>
      </c>
    </row>
    <row r="18" spans="1:7" ht="45" customHeight="1" x14ac:dyDescent="0.25">
      <c r="A18" s="30" t="s">
        <v>32</v>
      </c>
      <c r="B18" s="38" t="s">
        <v>28</v>
      </c>
      <c r="C18" s="38"/>
      <c r="D18" s="38"/>
      <c r="E18" s="38"/>
      <c r="F18" s="29">
        <f>60*1000/1000</f>
        <v>60</v>
      </c>
      <c r="G18" s="20" t="s">
        <v>21</v>
      </c>
    </row>
    <row r="19" spans="1:7" ht="46.5" customHeight="1" x14ac:dyDescent="0.25">
      <c r="A19" s="31" t="s">
        <v>33</v>
      </c>
      <c r="B19" s="36" t="s">
        <v>29</v>
      </c>
      <c r="C19" s="36"/>
      <c r="D19" s="36"/>
      <c r="E19" s="36"/>
      <c r="F19" s="32">
        <f>60</f>
        <v>60</v>
      </c>
      <c r="G19" s="28" t="s">
        <v>10</v>
      </c>
    </row>
    <row r="20" spans="1:7" ht="30.75" customHeight="1" x14ac:dyDescent="0.25">
      <c r="A20" s="26" t="s">
        <v>30</v>
      </c>
      <c r="B20" s="36" t="s">
        <v>31</v>
      </c>
      <c r="C20" s="36"/>
      <c r="D20" s="36"/>
      <c r="E20" s="36"/>
      <c r="F20" s="32">
        <v>-60</v>
      </c>
      <c r="G20" s="28" t="s">
        <v>10</v>
      </c>
    </row>
    <row r="21" spans="1:7" ht="32.25" customHeight="1" thickBot="1" x14ac:dyDescent="0.3">
      <c r="A21" s="7" t="s">
        <v>26</v>
      </c>
      <c r="B21" s="37" t="s">
        <v>27</v>
      </c>
      <c r="C21" s="37"/>
      <c r="D21" s="37"/>
      <c r="E21" s="37"/>
      <c r="F21" s="23">
        <f>-(B6-60)</f>
        <v>-2267</v>
      </c>
      <c r="G21" s="13" t="s">
        <v>10</v>
      </c>
    </row>
    <row r="22" spans="1:7" ht="153.75" customHeight="1" x14ac:dyDescent="0.25">
      <c r="A22" s="4"/>
      <c r="B22" s="4"/>
      <c r="C22" s="4"/>
      <c r="D22" s="4"/>
      <c r="E22" s="4"/>
      <c r="F22" s="4"/>
      <c r="G22" s="4"/>
    </row>
    <row r="23" spans="1:7" s="1" customFormat="1" ht="15.75" thickBot="1" x14ac:dyDescent="0.3">
      <c r="A23" s="2" t="s">
        <v>37</v>
      </c>
      <c r="B23" s="2"/>
      <c r="C23" s="21" t="s">
        <v>34</v>
      </c>
      <c r="D23" s="2"/>
      <c r="E23" s="2"/>
      <c r="F23" s="2"/>
      <c r="G23" s="3">
        <v>46191</v>
      </c>
    </row>
    <row r="24" spans="1:7" x14ac:dyDescent="0.25">
      <c r="A24" s="4"/>
      <c r="B24" s="4"/>
      <c r="C24" s="4"/>
      <c r="D24" s="4"/>
      <c r="E24" s="4"/>
      <c r="F24" s="4"/>
      <c r="G24" s="4"/>
    </row>
    <row r="25" spans="1:7" ht="15.75" thickBot="1" x14ac:dyDescent="0.3">
      <c r="A25" s="5" t="s">
        <v>11</v>
      </c>
      <c r="B25" s="4"/>
      <c r="C25" s="4"/>
      <c r="D25" s="4"/>
      <c r="E25" s="4"/>
      <c r="F25" s="4"/>
      <c r="G25" s="4"/>
    </row>
    <row r="26" spans="1:7" ht="47.25" thickBot="1" x14ac:dyDescent="0.4">
      <c r="A26" s="8" t="s">
        <v>3</v>
      </c>
      <c r="B26" s="14" t="s">
        <v>14</v>
      </c>
      <c r="C26" s="14" t="s">
        <v>13</v>
      </c>
      <c r="D26" s="52" t="s">
        <v>41</v>
      </c>
      <c r="E26" s="52"/>
      <c r="F26" s="52" t="s">
        <v>42</v>
      </c>
      <c r="G26" s="53"/>
    </row>
    <row r="27" spans="1:7" x14ac:dyDescent="0.25">
      <c r="A27" s="11" t="s">
        <v>18</v>
      </c>
      <c r="B27" s="16">
        <v>12.1</v>
      </c>
      <c r="C27" s="16">
        <v>8.5099999999999995E-2</v>
      </c>
      <c r="D27" s="46">
        <v>1.95E-2</v>
      </c>
      <c r="E27" s="46"/>
      <c r="F27" s="46">
        <v>3.56</v>
      </c>
      <c r="G27" s="47"/>
    </row>
    <row r="28" spans="1:7" x14ac:dyDescent="0.25">
      <c r="A28" s="19" t="s">
        <v>9</v>
      </c>
      <c r="B28" s="15">
        <v>44.5</v>
      </c>
      <c r="C28" s="15">
        <v>1.98</v>
      </c>
      <c r="D28" s="33">
        <v>0.11700000000000001</v>
      </c>
      <c r="E28" s="33"/>
      <c r="F28" s="33">
        <v>14</v>
      </c>
      <c r="G28" s="34"/>
    </row>
    <row r="29" spans="1:7" x14ac:dyDescent="0.25">
      <c r="A29" s="26" t="s">
        <v>24</v>
      </c>
      <c r="B29" s="15">
        <v>0.625</v>
      </c>
      <c r="C29" s="15">
        <v>1.89E-2</v>
      </c>
      <c r="D29" s="33">
        <v>1.99E-3</v>
      </c>
      <c r="E29" s="33"/>
      <c r="F29" s="33">
        <v>0.17100000000000001</v>
      </c>
      <c r="G29" s="34"/>
    </row>
    <row r="30" spans="1:7" ht="30" x14ac:dyDescent="0.25">
      <c r="A30" s="30" t="s">
        <v>32</v>
      </c>
      <c r="B30" s="15">
        <v>6.26</v>
      </c>
      <c r="C30" s="15">
        <v>0.47799999999999998</v>
      </c>
      <c r="D30" s="33">
        <v>1.5800000000000002E-2</v>
      </c>
      <c r="E30" s="33"/>
      <c r="F30" s="33">
        <v>2.11</v>
      </c>
      <c r="G30" s="34"/>
    </row>
    <row r="31" spans="1:7" ht="30" x14ac:dyDescent="0.25">
      <c r="A31" s="31" t="s">
        <v>33</v>
      </c>
      <c r="B31" s="15">
        <v>45.3</v>
      </c>
      <c r="C31" s="15">
        <v>0.96599999999999997</v>
      </c>
      <c r="D31" s="33">
        <v>1.1900000000000001E-2</v>
      </c>
      <c r="E31" s="33"/>
      <c r="F31" s="33">
        <v>14.8</v>
      </c>
      <c r="G31" s="34"/>
    </row>
    <row r="32" spans="1:7" x14ac:dyDescent="0.25">
      <c r="A32" s="26" t="s">
        <v>30</v>
      </c>
      <c r="B32" s="15">
        <v>-113</v>
      </c>
      <c r="C32" s="15">
        <v>-2.37</v>
      </c>
      <c r="D32" s="33">
        <v>-3.89</v>
      </c>
      <c r="E32" s="33"/>
      <c r="F32" s="33">
        <v>-25.3</v>
      </c>
      <c r="G32" s="34"/>
    </row>
    <row r="33" spans="1:7" ht="15.75" thickBot="1" x14ac:dyDescent="0.3">
      <c r="A33" s="7" t="s">
        <v>26</v>
      </c>
      <c r="B33" s="17">
        <v>-42.3</v>
      </c>
      <c r="C33" s="17">
        <v>-5.15</v>
      </c>
      <c r="D33" s="44">
        <v>-0.192</v>
      </c>
      <c r="E33" s="44"/>
      <c r="F33" s="44">
        <v>-11.8</v>
      </c>
      <c r="G33" s="48"/>
    </row>
    <row r="34" spans="1:7" ht="15.75" thickBot="1" x14ac:dyDescent="0.3">
      <c r="A34" s="8" t="s">
        <v>15</v>
      </c>
      <c r="B34" s="18">
        <v>-46.1</v>
      </c>
      <c r="C34" s="18">
        <v>-4</v>
      </c>
      <c r="D34" s="45">
        <v>-3.81</v>
      </c>
      <c r="E34" s="45"/>
      <c r="F34" s="45">
        <v>-2.4</v>
      </c>
      <c r="G34" s="49"/>
    </row>
    <row r="35" spans="1:7" x14ac:dyDescent="0.25">
      <c r="A35" s="4"/>
      <c r="B35" s="4"/>
      <c r="C35" s="4"/>
      <c r="D35" s="4"/>
      <c r="E35" s="4"/>
      <c r="F35" s="4"/>
      <c r="G35" s="4"/>
    </row>
    <row r="36" spans="1:7" ht="15.75" thickBot="1" x14ac:dyDescent="0.3">
      <c r="A36" s="5" t="s">
        <v>12</v>
      </c>
      <c r="B36" s="4"/>
      <c r="C36" s="4"/>
      <c r="D36" s="4"/>
      <c r="E36" s="4"/>
      <c r="F36" s="4"/>
      <c r="G36" s="4"/>
    </row>
    <row r="37" spans="1:7" ht="114.75" customHeight="1" thickBot="1" x14ac:dyDescent="0.3">
      <c r="A37" s="41" t="s">
        <v>40</v>
      </c>
      <c r="B37" s="42"/>
      <c r="C37" s="42"/>
      <c r="D37" s="42"/>
      <c r="E37" s="42"/>
      <c r="F37" s="42"/>
      <c r="G37" s="43"/>
    </row>
    <row r="38" spans="1:7" x14ac:dyDescent="0.25">
      <c r="A38" s="4"/>
      <c r="B38" s="4"/>
      <c r="C38" s="4"/>
      <c r="D38" s="4"/>
      <c r="E38" s="4"/>
      <c r="F38" s="4"/>
      <c r="G38" s="4"/>
    </row>
    <row r="39" spans="1:7" x14ac:dyDescent="0.25">
      <c r="A39" s="4"/>
      <c r="B39" s="4"/>
      <c r="C39" s="4"/>
      <c r="D39" s="4"/>
      <c r="E39" s="4"/>
      <c r="F39" s="4"/>
      <c r="G39" s="4"/>
    </row>
    <row r="40" spans="1:7" x14ac:dyDescent="0.25">
      <c r="A40" s="4"/>
      <c r="B40" s="4"/>
      <c r="C40" s="4"/>
      <c r="D40" s="4"/>
      <c r="E40" s="4"/>
      <c r="F40" s="4"/>
      <c r="G40" s="4"/>
    </row>
    <row r="41" spans="1:7" x14ac:dyDescent="0.25">
      <c r="A41" s="4"/>
      <c r="B41" s="4"/>
      <c r="C41" s="4"/>
      <c r="D41" s="4"/>
      <c r="E41" s="4"/>
      <c r="F41" s="4"/>
      <c r="G41" s="4"/>
    </row>
    <row r="42" spans="1:7" x14ac:dyDescent="0.25">
      <c r="A42" s="4"/>
      <c r="B42" s="4"/>
      <c r="C42" s="4"/>
      <c r="D42" s="4"/>
      <c r="E42" s="4"/>
      <c r="F42" s="4"/>
      <c r="G42" s="4"/>
    </row>
    <row r="43" spans="1:7" x14ac:dyDescent="0.25">
      <c r="A43" s="4"/>
      <c r="B43" s="4"/>
      <c r="C43" s="4"/>
      <c r="D43" s="4"/>
      <c r="E43" s="4"/>
      <c r="F43" s="4"/>
      <c r="G43" s="4"/>
    </row>
    <row r="44" spans="1:7" x14ac:dyDescent="0.25">
      <c r="A44" s="4"/>
      <c r="B44" s="4"/>
      <c r="C44" s="4"/>
      <c r="D44" s="4"/>
      <c r="E44" s="4"/>
      <c r="F44" s="4"/>
      <c r="G44" s="4"/>
    </row>
    <row r="45" spans="1:7" x14ac:dyDescent="0.25">
      <c r="A45" s="4"/>
      <c r="B45" s="4"/>
      <c r="C45" s="4"/>
      <c r="D45" s="4"/>
      <c r="E45" s="4"/>
      <c r="F45" s="4"/>
      <c r="G45" s="4"/>
    </row>
    <row r="46" spans="1:7" x14ac:dyDescent="0.25">
      <c r="A46" s="4"/>
      <c r="B46" s="4"/>
      <c r="C46" s="4"/>
      <c r="D46" s="4"/>
      <c r="E46" s="4"/>
      <c r="F46" s="4"/>
      <c r="G46" s="4"/>
    </row>
    <row r="47" spans="1:7" x14ac:dyDescent="0.25">
      <c r="A47" s="4"/>
      <c r="B47" s="4"/>
      <c r="C47" s="4"/>
      <c r="D47" s="4"/>
      <c r="E47" s="4"/>
      <c r="F47" s="4"/>
      <c r="G47" s="4"/>
    </row>
    <row r="48" spans="1:7" x14ac:dyDescent="0.25">
      <c r="A48" s="4"/>
      <c r="B48" s="4"/>
      <c r="C48" s="4"/>
      <c r="D48" s="4"/>
      <c r="E48" s="4"/>
      <c r="F48" s="4"/>
      <c r="G48" s="4"/>
    </row>
    <row r="49" spans="1:7" x14ac:dyDescent="0.25">
      <c r="A49" s="4"/>
      <c r="B49" s="4"/>
      <c r="C49" s="4"/>
      <c r="D49" s="4"/>
      <c r="E49" s="4"/>
      <c r="F49" s="4"/>
      <c r="G49" s="4"/>
    </row>
    <row r="50" spans="1:7" x14ac:dyDescent="0.25">
      <c r="A50" s="4"/>
      <c r="B50" s="4"/>
      <c r="C50" s="4"/>
      <c r="D50" s="4"/>
      <c r="E50" s="4"/>
      <c r="F50" s="4"/>
      <c r="G50" s="4"/>
    </row>
    <row r="51" spans="1:7" x14ac:dyDescent="0.25">
      <c r="A51" s="4"/>
      <c r="B51" s="4"/>
      <c r="C51" s="4"/>
      <c r="D51" s="4"/>
      <c r="E51" s="4"/>
      <c r="F51" s="4"/>
      <c r="G51" s="4"/>
    </row>
    <row r="52" spans="1:7" x14ac:dyDescent="0.25">
      <c r="A52" s="4"/>
      <c r="B52" s="4"/>
      <c r="C52" s="4"/>
      <c r="D52" s="4"/>
      <c r="E52" s="4"/>
      <c r="F52" s="4"/>
      <c r="G52" s="4"/>
    </row>
    <row r="53" spans="1:7" x14ac:dyDescent="0.25">
      <c r="A53" s="4"/>
      <c r="B53" s="4"/>
      <c r="C53" s="4"/>
      <c r="D53" s="4"/>
      <c r="E53" s="4"/>
      <c r="F53" s="4"/>
      <c r="G53" s="4"/>
    </row>
    <row r="54" spans="1:7" x14ac:dyDescent="0.25">
      <c r="A54" s="4"/>
      <c r="B54" s="4"/>
      <c r="C54" s="4"/>
      <c r="D54" s="4"/>
      <c r="E54" s="4"/>
      <c r="F54" s="4"/>
      <c r="G54" s="4"/>
    </row>
    <row r="55" spans="1:7" x14ac:dyDescent="0.25">
      <c r="A55" s="4"/>
      <c r="B55" s="4"/>
      <c r="C55" s="4"/>
      <c r="D55" s="4"/>
      <c r="E55" s="4"/>
      <c r="F55" s="4"/>
      <c r="G55" s="4"/>
    </row>
    <row r="56" spans="1:7" x14ac:dyDescent="0.25">
      <c r="A56" s="4"/>
      <c r="B56" s="4"/>
      <c r="C56" s="4"/>
      <c r="D56" s="4"/>
      <c r="E56" s="4"/>
      <c r="F56" s="4"/>
      <c r="G56" s="4"/>
    </row>
    <row r="57" spans="1:7" x14ac:dyDescent="0.25">
      <c r="A57" s="4"/>
      <c r="B57" s="4"/>
      <c r="C57" s="4"/>
      <c r="D57" s="4"/>
      <c r="E57" s="4"/>
      <c r="F57" s="4"/>
      <c r="G57" s="4"/>
    </row>
    <row r="58" spans="1:7" x14ac:dyDescent="0.25">
      <c r="A58" s="4"/>
      <c r="B58" s="4"/>
      <c r="C58" s="4"/>
      <c r="D58" s="4"/>
      <c r="E58" s="4"/>
      <c r="F58" s="4"/>
      <c r="G58" s="4"/>
    </row>
    <row r="59" spans="1:7" x14ac:dyDescent="0.25">
      <c r="A59" s="4"/>
      <c r="B59" s="4"/>
      <c r="C59" s="4"/>
      <c r="D59" s="4"/>
      <c r="E59" s="4"/>
      <c r="F59" s="4"/>
      <c r="G59" s="4"/>
    </row>
  </sheetData>
  <mergeCells count="30">
    <mergeCell ref="B3:C3"/>
    <mergeCell ref="A37:G37"/>
    <mergeCell ref="D33:E33"/>
    <mergeCell ref="D34:E34"/>
    <mergeCell ref="F27:G27"/>
    <mergeCell ref="F28:G28"/>
    <mergeCell ref="F33:G33"/>
    <mergeCell ref="F34:G34"/>
    <mergeCell ref="B8:C8"/>
    <mergeCell ref="D26:E26"/>
    <mergeCell ref="F26:G26"/>
    <mergeCell ref="D27:E27"/>
    <mergeCell ref="D28:E28"/>
    <mergeCell ref="A11:G11"/>
    <mergeCell ref="B14:E14"/>
    <mergeCell ref="B16:E16"/>
    <mergeCell ref="F29:G29"/>
    <mergeCell ref="B15:E15"/>
    <mergeCell ref="B17:E17"/>
    <mergeCell ref="B21:E21"/>
    <mergeCell ref="D29:E29"/>
    <mergeCell ref="B18:E18"/>
    <mergeCell ref="B19:E19"/>
    <mergeCell ref="B20:E20"/>
    <mergeCell ref="D30:E30"/>
    <mergeCell ref="F30:G30"/>
    <mergeCell ref="D31:E31"/>
    <mergeCell ref="F31:G31"/>
    <mergeCell ref="D32:E32"/>
    <mergeCell ref="F32:G3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CWE_RC_02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Gustav Søgaard</dc:creator>
  <cp:lastModifiedBy>Gustav Søgaard</cp:lastModifiedBy>
  <dcterms:created xsi:type="dcterms:W3CDTF">2026-06-17T12:24:24Z</dcterms:created>
  <dcterms:modified xsi:type="dcterms:W3CDTF">2026-08-06T16:28:11Z</dcterms:modified>
</cp:coreProperties>
</file>