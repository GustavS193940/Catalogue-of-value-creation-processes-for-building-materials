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1C93C8D2-EC89-42F0-997A-8BD307473373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F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6" i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<sst xmlns="http://schemas.openxmlformats.org/spreadsheetml/2006/main" count="38" uniqueCount="33">
  <si>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</si>
  <si>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</si>
  <si>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</si>
  <si>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</si>
  <si>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</si>
  <si>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</si>
  <si>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</si>
  <si>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Roofing Felt</t>
  </si>
  <si>
    <t>1 m²</t>
  </si>
  <si>
    <t>Scenario description</t>
  </si>
  <si>
    <t>Amount</t>
  </si>
  <si>
    <t>Transportation</t>
  </si>
  <si>
    <t>kg</t>
  </si>
  <si>
    <t>Process contribution</t>
  </si>
  <si>
    <t>Comments</t>
  </si>
  <si>
    <t>kg/m²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</si>
  <si>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</si>
  <si>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</si>
  <si>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</si>
  <si>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</si>
  <si>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</si>
  <si>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</si>
  <si>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</si>
  <si>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Electricity, low voltage {DK}| market for | Cut-off, S</t>
  </si>
  <si>
    <t>kJ</t>
  </si>
  <si>
    <t>kgkm</t>
  </si>
  <si>
    <t>Waste bitumen {Europe without Switzerland}| treatment of waste bitumen, sanitary landfill | Cut-off, S</t>
  </si>
  <si>
    <t>RF_LF_01 - Life Cycle Inventory</t>
  </si>
  <si>
    <t>Page 1 of 1</t>
  </si>
  <si>
    <t>1 m² of double-layered roofing felt is extracted from the building using electric tools. Assumed electricity use of 0.989 kJ/kg roofing felt based on reference calculation [1]. The roofing felt is transported 50 km by truck to a municipal landfill site.</t>
  </si>
  <si>
    <t>EcoInvent database version: 3.12
Impact assessment method: ReCiPe2016 Midpoint (H)
Mass factor determined from BR18, appendix 2, table 7 ID #D1501, rounded to 3 significant figures.
[1] Reference calculation: https://github.com/GustavS193940/Catalogue-of-value-creation-processes-for-building-materials/blob/b19f72869c2b249eae2a71bcbf9176dfd2070a8f/Electricity%20Reference/README.md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</si>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</sst>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8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5" t="s">
        <v>28</v>
      </c>
      <c r="D1" s="2"/>
      <c r="E1" s="2"/>
      <c r="F1" s="2"/>
      <c r="G1" s="3">
        <v>46190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8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12.8</v>
      </c>
      <c r="C6" s="4" t="s">
        <v>15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6" t="s">
        <v>21</v>
      </c>
      <c r="C8" s="2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9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2" t="s">
        <v>29</v>
      </c>
      <c r="B11" s="33"/>
      <c r="C11" s="33"/>
      <c r="D11" s="33"/>
      <c r="E11" s="33"/>
      <c r="F11" s="33"/>
      <c r="G11" s="3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5" t="s">
        <v>20</v>
      </c>
      <c r="C14" s="35"/>
      <c r="D14" s="35"/>
      <c r="E14" s="35"/>
      <c r="F14" s="10" t="s">
        <v>10</v>
      </c>
      <c r="G14" s="11" t="s">
        <v>1</v>
      </c>
    </row>
    <row r="15" spans="1:7" x14ac:dyDescent="0.25">
      <c r="A15" s="12" t="s">
        <v>22</v>
      </c>
      <c r="B15" s="38" t="s">
        <v>23</v>
      </c>
      <c r="C15" s="38"/>
      <c r="D15" s="38"/>
      <c r="E15" s="38"/>
      <c r="F15" s="23">
        <f>B6*0.989</f>
        <v>12.6592</v>
      </c>
      <c r="G15" s="13" t="s">
        <v>24</v>
      </c>
    </row>
    <row r="16" spans="1:7" ht="45" customHeight="1" x14ac:dyDescent="0.25">
      <c r="A16" s="21" t="s">
        <v>11</v>
      </c>
      <c r="B16" s="36" t="s">
        <v>19</v>
      </c>
      <c r="C16" s="36"/>
      <c r="D16" s="36"/>
      <c r="E16" s="36"/>
      <c r="F16" s="24">
        <f>B6*50</f>
        <v>640</v>
      </c>
      <c r="G16" s="22" t="s">
        <v>25</v>
      </c>
    </row>
    <row r="17" spans="1:7" ht="30.75" customHeight="1" thickBot="1" x14ac:dyDescent="0.3">
      <c r="A17" s="8" t="s">
        <v>21</v>
      </c>
      <c r="B17" s="37" t="s">
        <v>26</v>
      </c>
      <c r="C17" s="37"/>
      <c r="D17" s="37"/>
      <c r="E17" s="37"/>
      <c r="F17" s="14">
        <f>B6</f>
        <v>12.8</v>
      </c>
      <c r="G17" s="15" t="s">
        <v>12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13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6" t="s">
        <v>17</v>
      </c>
      <c r="C20" s="16" t="s">
        <v>16</v>
      </c>
      <c r="D20" s="28" t="s">
        <v>31</v>
      </c>
      <c r="E20" s="28"/>
      <c r="F20" s="28" t="s">
        <v>32</v>
      </c>
      <c r="G20" s="29"/>
    </row>
    <row r="21" spans="1:7" x14ac:dyDescent="0.25">
      <c r="A21" s="12" t="s">
        <v>22</v>
      </c>
      <c r="B21" s="18">
        <v>6.29E-4</v>
      </c>
      <c r="C21" s="18">
        <v>1.4200000000000001E-4</v>
      </c>
      <c r="D21" s="30">
        <v>5.48E-6</v>
      </c>
      <c r="E21" s="30"/>
      <c r="F21" s="30">
        <v>1.55E-4</v>
      </c>
      <c r="G21" s="41"/>
    </row>
    <row r="22" spans="1:7" x14ac:dyDescent="0.25">
      <c r="A22" s="21" t="s">
        <v>11</v>
      </c>
      <c r="B22" s="17">
        <v>0.122</v>
      </c>
      <c r="C22" s="17">
        <v>5.4400000000000004E-3</v>
      </c>
      <c r="D22" s="31">
        <v>3.2299999999999999E-4</v>
      </c>
      <c r="E22" s="31"/>
      <c r="F22" s="31">
        <v>3.8600000000000002E-2</v>
      </c>
      <c r="G22" s="42"/>
    </row>
    <row r="23" spans="1:7" ht="15.75" thickBot="1" x14ac:dyDescent="0.3">
      <c r="A23" s="8" t="s">
        <v>21</v>
      </c>
      <c r="B23" s="19">
        <v>1.74</v>
      </c>
      <c r="C23" s="19">
        <v>1.9599999999999999E-2</v>
      </c>
      <c r="D23" s="39">
        <v>4.0000000000000002E-4</v>
      </c>
      <c r="E23" s="39"/>
      <c r="F23" s="39">
        <v>7.1099999999999997E-2</v>
      </c>
      <c r="G23" s="43"/>
    </row>
    <row r="24" spans="1:7" ht="15.75" thickBot="1" x14ac:dyDescent="0.3">
      <c r="A24" s="9" t="s">
        <v>18</v>
      </c>
      <c r="B24" s="20">
        <v>1.86</v>
      </c>
      <c r="C24" s="20">
        <v>2.52E-2</v>
      </c>
      <c r="D24" s="40">
        <v>7.2800000000000002E-4</v>
      </c>
      <c r="E24" s="40"/>
      <c r="F24" s="40">
        <v>0.11</v>
      </c>
      <c r="G24" s="4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14</v>
      </c>
      <c r="B26" s="4"/>
      <c r="C26" s="4"/>
      <c r="D26" s="4"/>
      <c r="E26" s="4"/>
      <c r="F26" s="4"/>
      <c r="G26" s="4"/>
    </row>
    <row r="27" spans="1:7" ht="128.25" customHeight="1" thickBot="1" x14ac:dyDescent="0.3">
      <c r="A27" s="32" t="s">
        <v>30</v>
      </c>
      <c r="B27" s="33"/>
      <c r="C27" s="33"/>
      <c r="D27" s="33"/>
      <c r="E27" s="33"/>
      <c r="F27" s="33"/>
      <c r="G27" s="34"/>
    </row>
    <row r="28" spans="1:7" x14ac:dyDescent="0.25">
      <c r="A28" s="4"/>
      <c r="B28" s="4"/>
      <c r="C28" s="4"/>
      <c r="D28" s="4"/>
      <c r="E28" s="4"/>
      <c r="F28" s="4"/>
      <c r="G28" s="4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2026-08-06T16:30:30Z</dcterms:modified>
</cp:coreProperties>
</file>