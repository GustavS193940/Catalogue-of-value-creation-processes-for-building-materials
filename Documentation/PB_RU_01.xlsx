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1F49799F-2F80-494A-AAAA-7D12B9939544}" xr6:coauthVersionLast="47" xr6:coauthVersionMax="47" xr10:uidLastSave="{00000000-0000-0000-0000-000000000000}"/>
  <bookViews>
    <workbookView xWindow="-120" yWindow="-120" windowWidth="29040" windowHeight="15840" xr2:uid="{DB1217F5-3EDD-4456-A020-305ADC7C8E64}"/>
  </bookViews>
  <sheets>
    <sheet name="PB_RU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1" i="1" l="1"/>
  <c r="F20" i="1"/>
  <c r="F19" i="1"/>
  <c r="F18" i="1"/>
  <c r="F17" i="1"/>
  <c r="F16" i="1" l="1"/>
  <c r="F15" i="1"/>
</calcChain>
</file>

<file path=xl/sharedStrings.xml><?xml version="1.0" encoding="utf-8"?>
<sst xmlns="http://schemas.openxmlformats.org/spreadsheetml/2006/main" count="56" uniqueCount="43">
  <si>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</si>
  <si>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</si>
  <si>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</si>
  <si>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</si>
  <si>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</si>
  <si>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</si>
  <si>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</si>
  <si>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</si>
  <si>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</si>
  <si>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</si>
  <si>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</si>
  <si>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</si>
  <si>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</si>
  <si>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</si>
  <si>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</si>
  <si>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</si>
  <si>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</si>
  <si>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</si>
  <si>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Disassembly</t>
  </si>
  <si>
    <t>Electricity, low voltage {DK}| market for | Cut-off, S</t>
  </si>
  <si>
    <t>Recovered electricity</t>
  </si>
  <si>
    <t>Recovered heat</t>
  </si>
  <si>
    <t>Heat, district or industrial, other than natural gas {Europe without Switzerland}| market for heat, district or industrial, other than natural gas | Cut-off, S</t>
  </si>
  <si>
    <t>MJ</t>
  </si>
  <si>
    <t>1 m³</t>
  </si>
  <si>
    <t>kg/m³</t>
  </si>
  <si>
    <t>Page 1 of 2</t>
  </si>
  <si>
    <t>tkm</t>
  </si>
  <si>
    <t>Diesel, burned in building machine {GLO}| market for diesel, burned in building machine | Cut-off, S</t>
  </si>
  <si>
    <t>Page 2 of 2</t>
  </si>
  <si>
    <t>Waste wood, untreated {GLO}| treatment of waste wood, untreated, municipal incineration | Cut-off, S</t>
  </si>
  <si>
    <t>Avoided wood</t>
  </si>
  <si>
    <t>Incineration of residual</t>
  </si>
  <si>
    <t>m³</t>
  </si>
  <si>
    <t>Reuse</t>
  </si>
  <si>
    <t>Transportation of residual</t>
  </si>
  <si>
    <t>Particle board</t>
  </si>
  <si>
    <t>PB_RU_01 - Life Cycle Inventory</t>
  </si>
  <si>
    <t>1 m³ of particle board is extracted from the building diesel-driven machinery. Assumed diesel use of 1.4 L/t material based on a report from the Danish Environmental Protection Agency (2022) [1]. The particle board is transported 100 km by truck to a facility in Denmark where it is reused. Assumed 80% of particle board is reusable based on an LCA report from the GENTRÆ project (2020) [2]. The remaining 20% is transported another 50 km by truck to a municipal incineration plant where it is incinerated for energy recovery. Energy recovery of 1.8 MJ/kg particle board from Danish industry EPD for particle board [3]. Assumption of 2/3 recovered energy being heat and the remaining 1/3 being electricity.</t>
  </si>
  <si>
    <t>Particleboard, uncoated {RER}| market for particleboard, uncoated | Cut-off, S</t>
  </si>
  <si>
    <t>EcoInvent database version: 3.12
Impact assessment method: ReCiPe2016 Midpoint (H)
Mass factor determined from BR18, appendix 2, table 7 ID #G0701
Diesel density assumed to be 0.845 kg/L with an energy density of 42.7 MJ/kg.
EcoInvent process for avoided wood assumes density of 637 kg/m³, so volume has been scaled up to match the weight of the reused wood.
[1] Miljøstyrelsen (2022): https://www2.mst.dk/Udgiv/publikationer/2022/02/978-87-7038-353-0.pdf
[2] GENTRÆ LCA Report (2020): https://tilbudprof.stark.dk/gentrae/lga-golder-associates/?page=1
[3] MD-25106-EN: https://www.epddanmark.dk/media/0ejgjsju/md-25106-en.pdf</t>
  </si>
  <si>
    <t>Mineral Resource Scarcity 
[kg CU eq]</t>
  </si>
  <si>
    <t>Fossil Resource Scarcity 
[kg oil eq]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</si>
</sst>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2" xfId="0" applyFill="1" applyBorder="1"/>
    <xf numFmtId="0" fontId="0" fillId="3" borderId="6" xfId="0" applyFill="1" applyBorder="1" applyAlignment="1">
      <alignment vertical="center"/>
    </xf>
    <xf numFmtId="0" fontId="1" fillId="3" borderId="3" xfId="0" applyFont="1" applyFill="1" applyBorder="1"/>
    <xf numFmtId="0" fontId="1" fillId="3" borderId="5" xfId="0" applyFont="1" applyFill="1" applyBorder="1"/>
    <xf numFmtId="0" fontId="1" fillId="3" borderId="4" xfId="0" applyFont="1" applyFill="1" applyBorder="1"/>
    <xf numFmtId="0" fontId="0" fillId="3" borderId="8" xfId="0" applyFill="1" applyBorder="1" applyAlignment="1">
      <alignment vertical="center"/>
    </xf>
    <xf numFmtId="0" fontId="0" fillId="3" borderId="10" xfId="0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1" fillId="3" borderId="5" xfId="0" applyFont="1" applyFill="1" applyBorder="1" applyAlignment="1">
      <alignment wrapText="1"/>
    </xf>
    <xf numFmtId="11" fontId="0" fillId="3" borderId="11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5" xfId="0" applyNumberFormat="1" applyFill="1" applyBorder="1" applyAlignment="1">
      <alignment horizontal="center"/>
    </xf>
    <xf numFmtId="0" fontId="0" fillId="3" borderId="13" xfId="0" applyFill="1" applyBorder="1" applyAlignment="1">
      <alignment vertical="center"/>
    </xf>
    <xf numFmtId="0" fontId="0" fillId="3" borderId="15" xfId="0" applyFill="1" applyBorder="1" applyAlignment="1">
      <alignment vertical="center"/>
    </xf>
    <xf numFmtId="164" fontId="0" fillId="3" borderId="9" xfId="0" applyNumberFormat="1" applyFill="1" applyBorder="1" applyAlignment="1">
      <alignment vertical="center"/>
    </xf>
    <xf numFmtId="1" fontId="0" fillId="3" borderId="14" xfId="0" applyNumberFormat="1" applyFill="1" applyBorder="1" applyAlignment="1">
      <alignment vertical="center"/>
    </xf>
    <xf numFmtId="164" fontId="0" fillId="3" borderId="14" xfId="0" applyNumberFormat="1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0" fontId="0" fillId="3" borderId="16" xfId="0" applyFill="1" applyBorder="1" applyAlignment="1">
      <alignment vertical="center"/>
    </xf>
    <xf numFmtId="0" fontId="0" fillId="3" borderId="12" xfId="0" applyFill="1" applyBorder="1" applyAlignment="1">
      <alignment vertical="center"/>
    </xf>
    <xf numFmtId="0" fontId="0" fillId="3" borderId="13" xfId="0" applyFill="1" applyBorder="1" applyAlignment="1">
      <alignment vertical="center" wrapText="1"/>
    </xf>
    <xf numFmtId="2" fontId="0" fillId="3" borderId="14" xfId="0" applyNumberFormat="1" applyFill="1" applyBorder="1" applyAlignment="1">
      <alignment vertical="center"/>
    </xf>
    <xf numFmtId="164" fontId="0" fillId="3" borderId="11" xfId="0" applyNumberFormat="1" applyFill="1" applyBorder="1" applyAlignment="1">
      <alignment vertical="center"/>
    </xf>
    <xf numFmtId="2" fontId="0" fillId="3" borderId="1" xfId="0" applyNumberFormat="1" applyFill="1" applyBorder="1" applyAlignment="1">
      <alignment vertical="center"/>
    </xf>
    <xf numFmtId="0" fontId="0" fillId="3" borderId="3" xfId="0" applyFill="1" applyBorder="1"/>
    <xf numFmtId="0" fontId="0" fillId="3" borderId="4" xfId="0" applyFill="1" applyBorder="1"/>
    <xf numFmtId="0" fontId="1" fillId="3" borderId="5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11" fontId="0" fillId="3" borderId="9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0" fontId="0" fillId="3" borderId="3" xfId="0" applyFill="1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1" fillId="3" borderId="5" xfId="0" applyFont="1" applyFill="1" applyBorder="1"/>
    <xf numFmtId="0" fontId="0" fillId="3" borderId="14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0" fillId="3" borderId="1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0" borderId="3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11" fontId="0" fillId="3" borderId="5" xfId="0" applyNumberFormat="1" applyFill="1" applyBorder="1" applyAlignment="1">
      <alignment horizontal="center"/>
    </xf>
    <xf numFmtId="11" fontId="0" fillId="3" borderId="10" xfId="0" applyNumberFormat="1" applyFill="1" applyBorder="1" applyAlignment="1">
      <alignment horizontal="center"/>
    </xf>
    <xf numFmtId="11" fontId="0" fillId="3" borderId="12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56"/>
  <sheetViews>
    <sheetView tabSelected="1" view="pageLayout" topLeftCell="A20" zoomScaleNormal="100" workbookViewId="0">
      <selection activeCell="F26" sqref="F26:G26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37</v>
      </c>
      <c r="B1" s="2"/>
      <c r="C1" s="24" t="s">
        <v>26</v>
      </c>
      <c r="D1" s="2"/>
      <c r="E1" s="2"/>
      <c r="F1" s="2"/>
      <c r="G1" s="3">
        <v>46192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7" t="s">
        <v>36</v>
      </c>
      <c r="C3" s="4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24</v>
      </c>
      <c r="C5" s="4"/>
      <c r="D5" s="4"/>
      <c r="E5" s="4"/>
      <c r="F5" s="4"/>
      <c r="G5" s="4"/>
    </row>
    <row r="6" spans="1:7" x14ac:dyDescent="0.25">
      <c r="A6" s="5" t="s">
        <v>2</v>
      </c>
      <c r="B6" s="6">
        <v>700</v>
      </c>
      <c r="C6" s="4" t="s">
        <v>25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31" t="s">
        <v>34</v>
      </c>
      <c r="C8" s="32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109.5" customHeight="1" thickBot="1" x14ac:dyDescent="0.3">
      <c r="A11" s="37" t="s">
        <v>38</v>
      </c>
      <c r="B11" s="38"/>
      <c r="C11" s="38"/>
      <c r="D11" s="38"/>
      <c r="E11" s="38"/>
      <c r="F11" s="38"/>
      <c r="G11" s="39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9" t="s">
        <v>3</v>
      </c>
      <c r="B14" s="40" t="s">
        <v>17</v>
      </c>
      <c r="C14" s="40"/>
      <c r="D14" s="40"/>
      <c r="E14" s="40"/>
      <c r="F14" s="10" t="s">
        <v>8</v>
      </c>
      <c r="G14" s="11" t="s">
        <v>1</v>
      </c>
    </row>
    <row r="15" spans="1:7" ht="32.25" customHeight="1" x14ac:dyDescent="0.25">
      <c r="A15" s="12" t="s">
        <v>18</v>
      </c>
      <c r="B15" s="42" t="s">
        <v>28</v>
      </c>
      <c r="C15" s="42"/>
      <c r="D15" s="42"/>
      <c r="E15" s="42"/>
      <c r="F15" s="21">
        <f>B6*1.4/1000*0.845*42.7</f>
        <v>35.359869999999994</v>
      </c>
      <c r="G15" s="13" t="s">
        <v>23</v>
      </c>
    </row>
    <row r="16" spans="1:7" ht="45" customHeight="1" x14ac:dyDescent="0.25">
      <c r="A16" s="19" t="s">
        <v>9</v>
      </c>
      <c r="B16" s="41" t="s">
        <v>16</v>
      </c>
      <c r="C16" s="41"/>
      <c r="D16" s="41"/>
      <c r="E16" s="41"/>
      <c r="F16" s="23">
        <f>B6*100/1000</f>
        <v>70</v>
      </c>
      <c r="G16" s="20" t="s">
        <v>27</v>
      </c>
    </row>
    <row r="17" spans="1:7" ht="45" customHeight="1" x14ac:dyDescent="0.25">
      <c r="A17" s="27" t="s">
        <v>35</v>
      </c>
      <c r="B17" s="41" t="s">
        <v>16</v>
      </c>
      <c r="C17" s="41"/>
      <c r="D17" s="41"/>
      <c r="E17" s="41"/>
      <c r="F17" s="28">
        <f>B6*0.2*50/1000</f>
        <v>7</v>
      </c>
      <c r="G17" s="20" t="s">
        <v>27</v>
      </c>
    </row>
    <row r="18" spans="1:7" ht="30.75" customHeight="1" x14ac:dyDescent="0.25">
      <c r="A18" s="27" t="s">
        <v>32</v>
      </c>
      <c r="B18" s="41" t="s">
        <v>30</v>
      </c>
      <c r="C18" s="41"/>
      <c r="D18" s="41"/>
      <c r="E18" s="41"/>
      <c r="F18" s="22">
        <f>B6*0.2</f>
        <v>140</v>
      </c>
      <c r="G18" s="20" t="s">
        <v>10</v>
      </c>
    </row>
    <row r="19" spans="1:7" ht="45.75" customHeight="1" x14ac:dyDescent="0.25">
      <c r="A19" s="19" t="s">
        <v>21</v>
      </c>
      <c r="B19" s="41" t="s">
        <v>22</v>
      </c>
      <c r="C19" s="41"/>
      <c r="D19" s="41"/>
      <c r="E19" s="41"/>
      <c r="F19" s="22">
        <f>-1.8*(0.666666666666667)*B6*0.2</f>
        <v>-168.00000000000011</v>
      </c>
      <c r="G19" s="20" t="s">
        <v>23</v>
      </c>
    </row>
    <row r="20" spans="1:7" ht="15.75" customHeight="1" x14ac:dyDescent="0.25">
      <c r="A20" s="25" t="s">
        <v>20</v>
      </c>
      <c r="B20" s="43" t="s">
        <v>19</v>
      </c>
      <c r="C20" s="43"/>
      <c r="D20" s="43"/>
      <c r="E20" s="43"/>
      <c r="F20" s="29">
        <f>-1.8*(0.333333333333333)*B6*0.2</f>
        <v>-83.999999999999929</v>
      </c>
      <c r="G20" s="26" t="s">
        <v>23</v>
      </c>
    </row>
    <row r="21" spans="1:7" ht="29.45" customHeight="1" thickBot="1" x14ac:dyDescent="0.3">
      <c r="A21" s="8" t="s">
        <v>31</v>
      </c>
      <c r="B21" s="44" t="s">
        <v>39</v>
      </c>
      <c r="C21" s="44"/>
      <c r="D21" s="44"/>
      <c r="E21" s="44"/>
      <c r="F21" s="30">
        <f>-B6/637*0.8</f>
        <v>-0.87912087912087922</v>
      </c>
      <c r="G21" s="14" t="s">
        <v>33</v>
      </c>
    </row>
    <row r="22" spans="1:7" ht="156.75" customHeight="1" x14ac:dyDescent="0.25">
      <c r="A22" s="4"/>
      <c r="B22" s="4"/>
      <c r="C22" s="4"/>
      <c r="D22" s="4"/>
      <c r="E22" s="4"/>
      <c r="F22" s="4"/>
      <c r="G22" s="4"/>
    </row>
    <row r="23" spans="1:7" s="1" customFormat="1" ht="15.75" thickBot="1" x14ac:dyDescent="0.3">
      <c r="A23" s="2" t="s">
        <v>37</v>
      </c>
      <c r="B23" s="2"/>
      <c r="C23" s="24" t="s">
        <v>29</v>
      </c>
      <c r="D23" s="2"/>
      <c r="E23" s="2"/>
      <c r="F23" s="2"/>
      <c r="G23" s="3">
        <v>46192</v>
      </c>
    </row>
    <row r="24" spans="1:7" x14ac:dyDescent="0.25">
      <c r="A24" s="4"/>
      <c r="B24" s="4"/>
      <c r="C24" s="4"/>
      <c r="D24" s="4"/>
      <c r="E24" s="4"/>
      <c r="F24" s="4"/>
      <c r="G24" s="4"/>
    </row>
    <row r="25" spans="1:7" ht="15.75" thickBot="1" x14ac:dyDescent="0.3">
      <c r="A25" s="5" t="s">
        <v>11</v>
      </c>
      <c r="B25" s="4"/>
      <c r="C25" s="4"/>
      <c r="D25" s="4"/>
      <c r="E25" s="4"/>
      <c r="F25" s="4"/>
      <c r="G25" s="4"/>
    </row>
    <row r="26" spans="1:7" ht="47.25" thickBot="1" x14ac:dyDescent="0.4">
      <c r="A26" s="9" t="s">
        <v>3</v>
      </c>
      <c r="B26" s="15" t="s">
        <v>14</v>
      </c>
      <c r="C26" s="15" t="s">
        <v>13</v>
      </c>
      <c r="D26" s="33" t="s">
        <v>41</v>
      </c>
      <c r="E26" s="33"/>
      <c r="F26" s="33" t="s">
        <v>42</v>
      </c>
      <c r="G26" s="34"/>
    </row>
    <row r="27" spans="1:7" x14ac:dyDescent="0.25">
      <c r="A27" s="12" t="s">
        <v>18</v>
      </c>
      <c r="B27" s="17">
        <v>3.63</v>
      </c>
      <c r="C27" s="17">
        <v>2.5499999999999998E-2</v>
      </c>
      <c r="D27" s="35">
        <v>5.8500000000000002E-3</v>
      </c>
      <c r="E27" s="35"/>
      <c r="F27" s="35">
        <v>1.07</v>
      </c>
      <c r="G27" s="49"/>
    </row>
    <row r="28" spans="1:7" x14ac:dyDescent="0.25">
      <c r="A28" s="19" t="s">
        <v>9</v>
      </c>
      <c r="B28" s="16">
        <v>13.4</v>
      </c>
      <c r="C28" s="16">
        <v>0.59499999999999997</v>
      </c>
      <c r="D28" s="36">
        <v>3.5299999999999998E-2</v>
      </c>
      <c r="E28" s="36"/>
      <c r="F28" s="36">
        <v>4.22</v>
      </c>
      <c r="G28" s="50"/>
    </row>
    <row r="29" spans="1:7" ht="30" x14ac:dyDescent="0.25">
      <c r="A29" s="27" t="s">
        <v>35</v>
      </c>
      <c r="B29" s="16">
        <v>1.34</v>
      </c>
      <c r="C29" s="16">
        <v>5.9499999999999997E-2</v>
      </c>
      <c r="D29" s="36">
        <v>3.5300000000000002E-3</v>
      </c>
      <c r="E29" s="36"/>
      <c r="F29" s="36">
        <v>0.42199999999999999</v>
      </c>
      <c r="G29" s="50"/>
    </row>
    <row r="30" spans="1:7" ht="30" x14ac:dyDescent="0.25">
      <c r="A30" s="27" t="s">
        <v>32</v>
      </c>
      <c r="B30" s="16">
        <v>2.21</v>
      </c>
      <c r="C30" s="16">
        <v>3.6200000000000003E-2</v>
      </c>
      <c r="D30" s="36">
        <v>1.8599999999999998E-2</v>
      </c>
      <c r="E30" s="36"/>
      <c r="F30" s="36">
        <v>0.44900000000000001</v>
      </c>
      <c r="G30" s="50"/>
    </row>
    <row r="31" spans="1:7" x14ac:dyDescent="0.25">
      <c r="A31" s="19" t="s">
        <v>21</v>
      </c>
      <c r="B31" s="16">
        <v>-12.3</v>
      </c>
      <c r="C31" s="16">
        <v>-0.71699999999999997</v>
      </c>
      <c r="D31" s="36">
        <v>-3.9699999999999996E-3</v>
      </c>
      <c r="E31" s="36"/>
      <c r="F31" s="36">
        <v>-2.66</v>
      </c>
      <c r="G31" s="50"/>
    </row>
    <row r="32" spans="1:7" x14ac:dyDescent="0.25">
      <c r="A32" s="19" t="s">
        <v>20</v>
      </c>
      <c r="B32" s="16">
        <v>-4.16</v>
      </c>
      <c r="C32" s="16">
        <v>-0.94099999999999995</v>
      </c>
      <c r="D32" s="36">
        <v>3.6200000000000003E-2</v>
      </c>
      <c r="E32" s="36"/>
      <c r="F32" s="36">
        <v>-1.03</v>
      </c>
      <c r="G32" s="50"/>
    </row>
    <row r="33" spans="1:7" ht="15.75" thickBot="1" x14ac:dyDescent="0.3">
      <c r="A33" s="8" t="s">
        <v>31</v>
      </c>
      <c r="B33" s="16">
        <v>-233</v>
      </c>
      <c r="C33" s="16">
        <v>-195</v>
      </c>
      <c r="D33" s="36">
        <v>-0.92600000000000005</v>
      </c>
      <c r="E33" s="36"/>
      <c r="F33" s="36">
        <v>-99.3</v>
      </c>
      <c r="G33" s="50"/>
    </row>
    <row r="34" spans="1:7" ht="15.75" thickBot="1" x14ac:dyDescent="0.3">
      <c r="A34" s="9" t="s">
        <v>15</v>
      </c>
      <c r="B34" s="18">
        <v>-229</v>
      </c>
      <c r="C34" s="18">
        <v>-196</v>
      </c>
      <c r="D34" s="48">
        <v>-0.90200000000000002</v>
      </c>
      <c r="E34" s="48"/>
      <c r="F34" s="48">
        <v>-96.9</v>
      </c>
      <c r="G34" s="51"/>
    </row>
    <row r="35" spans="1:7" x14ac:dyDescent="0.25">
      <c r="A35" s="4"/>
      <c r="B35" s="4"/>
      <c r="C35" s="4"/>
      <c r="D35" s="4"/>
      <c r="E35" s="4"/>
      <c r="F35" s="4"/>
      <c r="G35" s="4"/>
    </row>
    <row r="36" spans="1:7" ht="15.75" thickBot="1" x14ac:dyDescent="0.3">
      <c r="A36" s="5" t="s">
        <v>12</v>
      </c>
      <c r="B36" s="4"/>
      <c r="C36" s="4"/>
      <c r="D36" s="4"/>
      <c r="E36" s="4"/>
      <c r="F36" s="4"/>
      <c r="G36" s="4"/>
    </row>
    <row r="37" spans="1:7" ht="154.5" customHeight="1" thickBot="1" x14ac:dyDescent="0.3">
      <c r="A37" s="45" t="s">
        <v>40</v>
      </c>
      <c r="B37" s="46"/>
      <c r="C37" s="46"/>
      <c r="D37" s="46"/>
      <c r="E37" s="46"/>
      <c r="F37" s="46"/>
      <c r="G37" s="47"/>
    </row>
    <row r="38" spans="1:7" x14ac:dyDescent="0.25">
      <c r="A38" s="4"/>
      <c r="B38" s="4"/>
      <c r="C38" s="4"/>
      <c r="D38" s="4"/>
      <c r="E38" s="4"/>
      <c r="F38" s="4"/>
      <c r="G38" s="4"/>
    </row>
    <row r="39" spans="1:7" x14ac:dyDescent="0.25">
      <c r="A39" s="4"/>
      <c r="B39" s="4"/>
      <c r="C39" s="4"/>
      <c r="D39" s="4"/>
      <c r="E39" s="4"/>
      <c r="F39" s="4"/>
      <c r="G39" s="4"/>
    </row>
    <row r="40" spans="1:7" x14ac:dyDescent="0.25">
      <c r="A40" s="4"/>
      <c r="B40" s="4"/>
      <c r="C40" s="4"/>
      <c r="D40" s="4"/>
      <c r="E40" s="4"/>
      <c r="F40" s="4"/>
      <c r="G40" s="4"/>
    </row>
    <row r="41" spans="1:7" x14ac:dyDescent="0.25">
      <c r="A41" s="4"/>
      <c r="B41" s="4"/>
      <c r="C41" s="4"/>
      <c r="D41" s="4"/>
      <c r="E41" s="4"/>
      <c r="F41" s="4"/>
      <c r="G41" s="4"/>
    </row>
    <row r="42" spans="1:7" x14ac:dyDescent="0.25">
      <c r="A42" s="4"/>
      <c r="B42" s="4"/>
      <c r="C42" s="4"/>
      <c r="D42" s="4"/>
      <c r="E42" s="4"/>
      <c r="F42" s="4"/>
      <c r="G42" s="4"/>
    </row>
    <row r="43" spans="1:7" x14ac:dyDescent="0.25">
      <c r="A43" s="4"/>
      <c r="B43" s="4"/>
      <c r="C43" s="4"/>
      <c r="D43" s="4"/>
      <c r="E43" s="4"/>
      <c r="F43" s="4"/>
      <c r="G43" s="4"/>
    </row>
    <row r="44" spans="1:7" x14ac:dyDescent="0.25">
      <c r="A44" s="4"/>
      <c r="B44" s="4"/>
      <c r="C44" s="4"/>
      <c r="D44" s="4"/>
      <c r="E44" s="4"/>
      <c r="F44" s="4"/>
      <c r="G44" s="4"/>
    </row>
    <row r="45" spans="1:7" x14ac:dyDescent="0.25">
      <c r="A45" s="4"/>
      <c r="B45" s="4"/>
      <c r="C45" s="4"/>
      <c r="D45" s="4"/>
      <c r="E45" s="4"/>
      <c r="F45" s="4"/>
      <c r="G45" s="4"/>
    </row>
    <row r="46" spans="1:7" x14ac:dyDescent="0.25">
      <c r="A46" s="4"/>
      <c r="B46" s="4"/>
      <c r="C46" s="4"/>
      <c r="D46" s="4"/>
      <c r="E46" s="4"/>
      <c r="F46" s="4"/>
      <c r="G46" s="4"/>
    </row>
    <row r="47" spans="1:7" x14ac:dyDescent="0.25">
      <c r="A47" s="4"/>
      <c r="B47" s="4"/>
      <c r="C47" s="4"/>
      <c r="D47" s="4"/>
      <c r="E47" s="4"/>
      <c r="F47" s="4"/>
      <c r="G47" s="4"/>
    </row>
    <row r="48" spans="1:7" x14ac:dyDescent="0.25">
      <c r="A48" s="4"/>
      <c r="B48" s="4"/>
      <c r="C48" s="4"/>
      <c r="D48" s="4"/>
      <c r="E48" s="4"/>
      <c r="F48" s="4"/>
      <c r="G48" s="4"/>
    </row>
    <row r="49" spans="1:7" x14ac:dyDescent="0.25">
      <c r="A49" s="4"/>
      <c r="B49" s="4"/>
      <c r="C49" s="4"/>
      <c r="D49" s="4"/>
      <c r="E49" s="4"/>
      <c r="F49" s="4"/>
      <c r="G49" s="4"/>
    </row>
    <row r="50" spans="1:7" x14ac:dyDescent="0.25">
      <c r="A50" s="4"/>
      <c r="B50" s="4"/>
      <c r="C50" s="4"/>
      <c r="D50" s="4"/>
      <c r="E50" s="4"/>
      <c r="F50" s="4"/>
      <c r="G50" s="4"/>
    </row>
    <row r="51" spans="1:7" x14ac:dyDescent="0.25">
      <c r="A51" s="4"/>
      <c r="B51" s="4"/>
      <c r="C51" s="4"/>
      <c r="D51" s="4"/>
      <c r="E51" s="4"/>
      <c r="F51" s="4"/>
      <c r="G51" s="4"/>
    </row>
    <row r="52" spans="1:7" x14ac:dyDescent="0.25">
      <c r="A52" s="4"/>
      <c r="B52" s="4"/>
      <c r="C52" s="4"/>
      <c r="D52" s="4"/>
      <c r="E52" s="4"/>
      <c r="F52" s="4"/>
      <c r="G52" s="4"/>
    </row>
    <row r="53" spans="1:7" x14ac:dyDescent="0.25">
      <c r="A53" s="4"/>
      <c r="B53" s="4"/>
      <c r="C53" s="4"/>
      <c r="D53" s="4"/>
      <c r="E53" s="4"/>
      <c r="F53" s="4"/>
      <c r="G53" s="4"/>
    </row>
    <row r="54" spans="1:7" x14ac:dyDescent="0.25">
      <c r="A54" s="4"/>
      <c r="B54" s="4"/>
      <c r="C54" s="4"/>
      <c r="D54" s="4"/>
      <c r="E54" s="4"/>
      <c r="F54" s="4"/>
      <c r="G54" s="4"/>
    </row>
    <row r="55" spans="1:7" x14ac:dyDescent="0.25">
      <c r="A55" s="4"/>
      <c r="B55" s="4"/>
      <c r="C55" s="4"/>
      <c r="D55" s="4"/>
      <c r="E55" s="4"/>
      <c r="F55" s="4"/>
      <c r="G55" s="4"/>
    </row>
    <row r="56" spans="1:7" x14ac:dyDescent="0.25">
      <c r="A56" s="4"/>
      <c r="B56" s="4"/>
      <c r="C56" s="4"/>
      <c r="D56" s="4"/>
      <c r="E56" s="4"/>
      <c r="F56" s="4"/>
      <c r="G56" s="4"/>
    </row>
  </sheetData>
  <mergeCells count="29">
    <mergeCell ref="A37:G37"/>
    <mergeCell ref="D32:E32"/>
    <mergeCell ref="D34:E34"/>
    <mergeCell ref="F27:G27"/>
    <mergeCell ref="F28:G28"/>
    <mergeCell ref="F32:G32"/>
    <mergeCell ref="F34:G34"/>
    <mergeCell ref="D30:E30"/>
    <mergeCell ref="F30:G30"/>
    <mergeCell ref="D31:E31"/>
    <mergeCell ref="F31:G31"/>
    <mergeCell ref="D33:E33"/>
    <mergeCell ref="F33:G33"/>
    <mergeCell ref="D29:E29"/>
    <mergeCell ref="F29:G29"/>
    <mergeCell ref="B8:C8"/>
    <mergeCell ref="D26:E26"/>
    <mergeCell ref="F26:G26"/>
    <mergeCell ref="D27:E27"/>
    <mergeCell ref="D28:E28"/>
    <mergeCell ref="A11:G11"/>
    <mergeCell ref="B14:E14"/>
    <mergeCell ref="B16:E16"/>
    <mergeCell ref="B18:E18"/>
    <mergeCell ref="B15:E15"/>
    <mergeCell ref="B20:E20"/>
    <mergeCell ref="B19:E19"/>
    <mergeCell ref="B21:E21"/>
    <mergeCell ref="B17:E1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PB_RU_01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2026-08-06T16:18:23Z</dcterms:modified>
</cp:coreProperties>
</file>