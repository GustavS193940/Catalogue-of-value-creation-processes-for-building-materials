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6D7913F-B004-4141-8E69-802A17301E27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WW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 l="1"/>
</calcChain>
</file>

<file path=xl/sharedStrings.xml><?xml version="1.0" encoding="utf-8"?>
<sst xmlns="http://schemas.openxmlformats.org/spreadsheetml/2006/main" count="64" uniqueCount="46">
  <si>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</si>
  <si>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</si>
  <si>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</si>
  <si>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</si>
  <si>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</si>
  <si>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</si>
  <si>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</si>
  <si>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</si>
  <si>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</si>
  <si>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</si>
  <si>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</si>
  <si>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</si>
  <si>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</si>
  <si>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</si>
  <si>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</si>
  <si>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</si>
  <si>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</si>
  <si>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</si>
  <si>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</si>
  <si>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</si>
  <si>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</si>
  <si>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</si>
  <si>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</si>
  <si>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Wood Window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</si>
  <si>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</si>
  <si>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</si>
  <si>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</si>
  <si>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</si>
  <si>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</si>
  <si>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</si>
  <si>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</si>
  <si>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</si>
  <si>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</si>
  <si>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</si>
  <si>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</si>
  <si>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</si>
  <si>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</si>
  <si>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</si>
  <si>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</si>
  <si>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</si>
  <si>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Page 1 of 2</t>
  </si>
  <si>
    <t>Page 2 of 2</t>
  </si>
  <si>
    <t>Recycling (Glass Wool)</t>
  </si>
  <si>
    <t>WW_RC_02 - Life Cycle Inventory</t>
  </si>
  <si>
    <t>1 m² wood frame window is extracted from the building by hand. The window is transported 100 km by truck to a facility in Denmark where the glass (which makes up approximately 67% of the window mass) is crushed, with 95% replacing sand in the production of glass wool [1] and 5% replacing sand in the production of other glass products. Approximately 26% of the material is wood, which is transported another 50 km to a municipal incineration plant where it is incinerated for energy recovery. Heat recovery of 2.93 MJ/kg wood and electricity recovery of 1.46 MJ/kg wood from Danish industry EPD for construction wood [2]. The remaining 7% is also transported 50 km by truck to a municipal landfill site.</t>
  </si>
  <si>
    <t>Mass factor determined from Danish industry EPD for wood frame windows MD-22039-DA [3]
[1] Isover - Fra glas til uld: https://www.saint-gobain.dk/Isover/fra-glas-til-uld#
[2] MD-25104-EN: https://www.epddanmark.dk/media/y1wfvthh/md-25104-en.pdf
[3] MD-22039-DA: https://www.epddanmark.dk/media/4pnfnax3/md-22039-da.pdf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</si>
</sst>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5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2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1"/>
  <sheetViews>
    <sheetView tabSelected="1" view="pageLayout" topLeftCell="A31" zoomScaleNormal="100" workbookViewId="0">
      <selection activeCell="A41" sqref="A41:G4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43</v>
      </c>
      <c r="B1" s="2"/>
      <c r="C1" s="20" t="s">
        <v>40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v>34.200000000000003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3" t="s">
        <v>42</v>
      </c>
      <c r="C8" s="3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5.25" customHeight="1" thickBot="1" x14ac:dyDescent="0.3">
      <c r="A11" s="38" t="s">
        <v>44</v>
      </c>
      <c r="B11" s="39"/>
      <c r="C11" s="39"/>
      <c r="D11" s="39"/>
      <c r="E11" s="39"/>
      <c r="F11" s="39"/>
      <c r="G11" s="4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1" t="s">
        <v>19</v>
      </c>
      <c r="C14" s="41"/>
      <c r="D14" s="41"/>
      <c r="E14" s="41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2" t="s">
        <v>18</v>
      </c>
      <c r="C15" s="42"/>
      <c r="D15" s="42"/>
      <c r="E15" s="42"/>
      <c r="F15" s="22">
        <f>B6*100/1000</f>
        <v>3.4200000000000004</v>
      </c>
      <c r="G15" s="19" t="s">
        <v>24</v>
      </c>
    </row>
    <row r="16" spans="1:7" x14ac:dyDescent="0.25">
      <c r="A16" s="24" t="s">
        <v>26</v>
      </c>
      <c r="B16" s="43" t="s">
        <v>27</v>
      </c>
      <c r="C16" s="43"/>
      <c r="D16" s="43"/>
      <c r="E16" s="43"/>
      <c r="F16" s="26">
        <f>B6*0.67</f>
        <v>22.914000000000005</v>
      </c>
      <c r="G16" s="25" t="s">
        <v>10</v>
      </c>
    </row>
    <row r="17" spans="1:7" ht="45" customHeight="1" x14ac:dyDescent="0.25">
      <c r="A17" s="27" t="s">
        <v>28</v>
      </c>
      <c r="B17" s="42" t="s">
        <v>18</v>
      </c>
      <c r="C17" s="42"/>
      <c r="D17" s="42"/>
      <c r="E17" s="42"/>
      <c r="F17" s="29">
        <f>B6*0.26*50</f>
        <v>444.60000000000008</v>
      </c>
      <c r="G17" s="19" t="s">
        <v>29</v>
      </c>
    </row>
    <row r="18" spans="1:7" ht="30.75" customHeight="1" x14ac:dyDescent="0.25">
      <c r="A18" s="18" t="s">
        <v>30</v>
      </c>
      <c r="B18" s="42" t="s">
        <v>31</v>
      </c>
      <c r="C18" s="42"/>
      <c r="D18" s="42"/>
      <c r="E18" s="42"/>
      <c r="F18" s="22">
        <f>B6*0.26</f>
        <v>8.8920000000000012</v>
      </c>
      <c r="G18" s="19" t="s">
        <v>10</v>
      </c>
    </row>
    <row r="19" spans="1:7" ht="45" customHeight="1" x14ac:dyDescent="0.25">
      <c r="A19" s="27" t="s">
        <v>32</v>
      </c>
      <c r="B19" s="42" t="s">
        <v>18</v>
      </c>
      <c r="C19" s="42"/>
      <c r="D19" s="42"/>
      <c r="E19" s="42"/>
      <c r="F19" s="29">
        <f>B6*0.07*50</f>
        <v>119.70000000000003</v>
      </c>
      <c r="G19" s="19" t="s">
        <v>29</v>
      </c>
    </row>
    <row r="20" spans="1:7" ht="32.25" customHeight="1" x14ac:dyDescent="0.25">
      <c r="A20" s="24" t="s">
        <v>33</v>
      </c>
      <c r="B20" s="43" t="s">
        <v>25</v>
      </c>
      <c r="C20" s="43"/>
      <c r="D20" s="43"/>
      <c r="E20" s="43"/>
      <c r="F20" s="30">
        <f>B6*0.07</f>
        <v>2.3940000000000006</v>
      </c>
      <c r="G20" s="25" t="s">
        <v>10</v>
      </c>
    </row>
    <row r="21" spans="1:7" ht="45.75" customHeight="1" x14ac:dyDescent="0.25">
      <c r="A21" s="18" t="s">
        <v>34</v>
      </c>
      <c r="B21" s="42" t="s">
        <v>35</v>
      </c>
      <c r="C21" s="42"/>
      <c r="D21" s="42"/>
      <c r="E21" s="42"/>
      <c r="F21" s="28">
        <f>-B6*0.26*2.93</f>
        <v>-26.053560000000004</v>
      </c>
      <c r="G21" s="19" t="s">
        <v>20</v>
      </c>
    </row>
    <row r="22" spans="1:7" ht="15.75" customHeight="1" x14ac:dyDescent="0.25">
      <c r="A22" s="24" t="s">
        <v>36</v>
      </c>
      <c r="B22" s="43" t="s">
        <v>37</v>
      </c>
      <c r="C22" s="43"/>
      <c r="D22" s="43"/>
      <c r="E22" s="43"/>
      <c r="F22" s="26">
        <f>-B6*0.26*1.46</f>
        <v>-12.982320000000001</v>
      </c>
      <c r="G22" s="25" t="s">
        <v>20</v>
      </c>
    </row>
    <row r="23" spans="1:7" ht="15.75" customHeight="1" thickBot="1" x14ac:dyDescent="0.3">
      <c r="A23" s="8" t="s">
        <v>38</v>
      </c>
      <c r="B23" s="44" t="s">
        <v>39</v>
      </c>
      <c r="C23" s="44"/>
      <c r="D23" s="44"/>
      <c r="E23" s="44"/>
      <c r="F23" s="23">
        <f>-B6*0.67</f>
        <v>-22.914000000000005</v>
      </c>
      <c r="G23" s="12" t="s">
        <v>10</v>
      </c>
    </row>
    <row r="24" spans="1:7" ht="99.7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43</v>
      </c>
      <c r="B25" s="2"/>
      <c r="C25" s="20" t="s">
        <v>41</v>
      </c>
      <c r="D25" s="2"/>
      <c r="E25" s="2"/>
      <c r="F25" s="2"/>
      <c r="G25" s="3">
        <v>46194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9" t="s">
        <v>3</v>
      </c>
      <c r="B28" s="13" t="s">
        <v>16</v>
      </c>
      <c r="C28" s="13" t="s">
        <v>13</v>
      </c>
      <c r="D28" s="35" t="s">
        <v>14</v>
      </c>
      <c r="E28" s="35"/>
      <c r="F28" s="35" t="s">
        <v>15</v>
      </c>
      <c r="G28" s="36"/>
    </row>
    <row r="29" spans="1:7" x14ac:dyDescent="0.25">
      <c r="A29" s="18" t="s">
        <v>9</v>
      </c>
      <c r="B29" s="15">
        <v>0.65400000000000003</v>
      </c>
      <c r="C29" s="15">
        <v>2.9100000000000001E-2</v>
      </c>
      <c r="D29" s="37">
        <v>1.72E-3</v>
      </c>
      <c r="E29" s="37"/>
      <c r="F29" s="37">
        <v>0.20599999999999999</v>
      </c>
      <c r="G29" s="47"/>
    </row>
    <row r="30" spans="1:7" x14ac:dyDescent="0.25">
      <c r="A30" s="18" t="s">
        <v>26</v>
      </c>
      <c r="B30" s="14">
        <v>6.1599999999999997E-3</v>
      </c>
      <c r="C30" s="14">
        <v>1.8599999999999999E-4</v>
      </c>
      <c r="D30" s="31">
        <v>1.9599999999999999E-5</v>
      </c>
      <c r="E30" s="31"/>
      <c r="F30" s="31">
        <v>1.6900000000000001E-3</v>
      </c>
      <c r="G30" s="32"/>
    </row>
    <row r="31" spans="1:7" ht="30" x14ac:dyDescent="0.25">
      <c r="A31" s="27" t="s">
        <v>28</v>
      </c>
      <c r="B31" s="14">
        <v>8.5099999999999995E-2</v>
      </c>
      <c r="C31" s="14">
        <v>3.7799999999999999E-3</v>
      </c>
      <c r="D31" s="31">
        <v>2.24E-4</v>
      </c>
      <c r="E31" s="31"/>
      <c r="F31" s="31">
        <v>2.6800000000000001E-2</v>
      </c>
      <c r="G31" s="32"/>
    </row>
    <row r="32" spans="1:7" x14ac:dyDescent="0.25">
      <c r="A32" s="18" t="s">
        <v>30</v>
      </c>
      <c r="B32" s="14">
        <v>0.14000000000000001</v>
      </c>
      <c r="C32" s="14">
        <v>2.3E-3</v>
      </c>
      <c r="D32" s="31">
        <v>1.1800000000000001E-3</v>
      </c>
      <c r="E32" s="31"/>
      <c r="F32" s="31">
        <v>2.8500000000000001E-2</v>
      </c>
      <c r="G32" s="32"/>
    </row>
    <row r="33" spans="1:7" ht="30" x14ac:dyDescent="0.25">
      <c r="A33" s="27" t="s">
        <v>32</v>
      </c>
      <c r="B33" s="14">
        <v>2.29E-2</v>
      </c>
      <c r="C33" s="14">
        <v>1.0200000000000001E-3</v>
      </c>
      <c r="D33" s="31">
        <v>6.05E-5</v>
      </c>
      <c r="E33" s="31"/>
      <c r="F33" s="31">
        <v>7.2300000000000003E-3</v>
      </c>
      <c r="G33" s="32"/>
    </row>
    <row r="34" spans="1:7" x14ac:dyDescent="0.25">
      <c r="A34" s="24" t="s">
        <v>33</v>
      </c>
      <c r="B34" s="14">
        <v>1.55E-2</v>
      </c>
      <c r="C34" s="14">
        <v>-8.5300000000000003E-4</v>
      </c>
      <c r="D34" s="31">
        <v>3.2299999999999999E-5</v>
      </c>
      <c r="E34" s="31"/>
      <c r="F34" s="31">
        <v>8.4200000000000004E-3</v>
      </c>
      <c r="G34" s="32"/>
    </row>
    <row r="35" spans="1:7" x14ac:dyDescent="0.25">
      <c r="A35" s="18" t="s">
        <v>34</v>
      </c>
      <c r="B35" s="14">
        <v>-1.9</v>
      </c>
      <c r="C35" s="14">
        <v>-0.111</v>
      </c>
      <c r="D35" s="31">
        <v>-6.1499999999999999E-4</v>
      </c>
      <c r="E35" s="31"/>
      <c r="F35" s="31">
        <v>-0.41199999999999998</v>
      </c>
      <c r="G35" s="32"/>
    </row>
    <row r="36" spans="1:7" x14ac:dyDescent="0.25">
      <c r="A36" s="24" t="s">
        <v>36</v>
      </c>
      <c r="B36" s="14">
        <v>-0.64400000000000002</v>
      </c>
      <c r="C36" s="14">
        <v>-0.14599999999999999</v>
      </c>
      <c r="D36" s="31">
        <v>-5.6100000000000004E-3</v>
      </c>
      <c r="E36" s="31"/>
      <c r="F36" s="31">
        <v>-0.159</v>
      </c>
      <c r="G36" s="32"/>
    </row>
    <row r="37" spans="1:7" ht="15.75" thickBot="1" x14ac:dyDescent="0.3">
      <c r="A37" s="8" t="s">
        <v>38</v>
      </c>
      <c r="B37" s="16">
        <v>-0.98699999999999999</v>
      </c>
      <c r="C37" s="16">
        <v>-0.17599999999999999</v>
      </c>
      <c r="D37" s="45">
        <v>-1.8799999999999999E-3</v>
      </c>
      <c r="E37" s="45"/>
      <c r="F37" s="45">
        <v>-0.24399999999999999</v>
      </c>
      <c r="G37" s="48"/>
    </row>
    <row r="38" spans="1:7" ht="15.75" thickBot="1" x14ac:dyDescent="0.3">
      <c r="A38" s="9" t="s">
        <v>17</v>
      </c>
      <c r="B38" s="17">
        <v>-2.6</v>
      </c>
      <c r="C38" s="17">
        <v>-0.39700000000000002</v>
      </c>
      <c r="D38" s="46">
        <v>-4.8599999999999997E-3</v>
      </c>
      <c r="E38" s="46"/>
      <c r="F38" s="46">
        <v>-0.53700000000000003</v>
      </c>
      <c r="G38" s="49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14.75" customHeight="1" thickBot="1" x14ac:dyDescent="0.3">
      <c r="A41" s="38" t="s">
        <v>45</v>
      </c>
      <c r="B41" s="39"/>
      <c r="C41" s="39"/>
      <c r="D41" s="39"/>
      <c r="E41" s="39"/>
      <c r="F41" s="39"/>
      <c r="G41" s="40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</sheetData>
  <mergeCells count="35">
    <mergeCell ref="A41:G41"/>
    <mergeCell ref="D37:E37"/>
    <mergeCell ref="D38:E38"/>
    <mergeCell ref="F29:G29"/>
    <mergeCell ref="F35:G35"/>
    <mergeCell ref="F37:G37"/>
    <mergeCell ref="F38:G38"/>
    <mergeCell ref="D32:E32"/>
    <mergeCell ref="F32:G32"/>
    <mergeCell ref="D33:E33"/>
    <mergeCell ref="F33:G33"/>
    <mergeCell ref="D34:E34"/>
    <mergeCell ref="F34:G34"/>
    <mergeCell ref="D36:E36"/>
    <mergeCell ref="F36:G36"/>
    <mergeCell ref="D30:E30"/>
    <mergeCell ref="D35:E35"/>
    <mergeCell ref="A11:G11"/>
    <mergeCell ref="B14:E14"/>
    <mergeCell ref="B15:E15"/>
    <mergeCell ref="B20:E20"/>
    <mergeCell ref="B16:E16"/>
    <mergeCell ref="B17:E17"/>
    <mergeCell ref="B18:E18"/>
    <mergeCell ref="B19:E19"/>
    <mergeCell ref="B21:E21"/>
    <mergeCell ref="B22:E22"/>
    <mergeCell ref="B23:E23"/>
    <mergeCell ref="F30:G30"/>
    <mergeCell ref="D31:E31"/>
    <mergeCell ref="F31:G31"/>
    <mergeCell ref="B8:C8"/>
    <mergeCell ref="D28:E28"/>
    <mergeCell ref="F28:G28"/>
    <mergeCell ref="D29:E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WW_RC_02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2026-06-21T19:29:06Z</dcterms:modified>
</cp:coreProperties>
</file>