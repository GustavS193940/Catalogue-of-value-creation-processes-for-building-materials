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4F6EBC2A-4D68-46D5-9ED8-C46AA24F9ED2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SH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 l="1"/>
  <c r="F18" i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<sst xmlns="http://schemas.openxmlformats.org/spreadsheetml/2006/main" count="42" uniqueCount="36">
  <si>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</si>
  <si>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</si>
  <si>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</si>
  <si>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</si>
  <si>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</si>
  <si>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</si>
  <si>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</si>
  <si>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</si>
  <si>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</si>
  <si>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</si>
  <si>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</si>
  <si>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</si>
  <si>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</si>
  <si>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</si>
  <si>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</si>
  <si>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</si>
  <si>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</si>
  <si>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</si>
  <si>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</si>
  <si>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</si>
  <si>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Page 1 of 1</t>
  </si>
  <si>
    <t>Transport, freight, lorry, &gt;32 metric ton, diesel, EURO 6 {RER}| market for transport, freight, lorry, &gt;32 metric ton, diesel, EURO 6 | Cut-off, S</t>
  </si>
  <si>
    <t>Avoided steel</t>
  </si>
  <si>
    <t>Melting</t>
  </si>
  <si>
    <t>Recycling</t>
  </si>
  <si>
    <t>Electricity, low voltage {DK}| market for | Cut-off, S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</si>
  <si>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</si>
  <si>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</si>
  <si>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SSH_RC_01 - Life Cycle Inventory</t>
  </si>
  <si>
    <t>Steel Sheets</t>
  </si>
  <si>
    <t>1 m²</t>
  </si>
  <si>
    <t>kg/m²</t>
  </si>
  <si>
    <t>kJ</t>
  </si>
  <si>
    <t>tkm</t>
  </si>
  <si>
    <t>1 m² steel sheet is extracted from the building using electric tools. Assumed electricity use of 0.989 kJ/kg steel based on reference calculation [1]. The steel sheet is transported 1000 km by truck to a facility in Europe where it is melted, replacing virgin steel in the production of new steel.</t>
  </si>
  <si>
    <t>Mass factor determined from BR18, appendix 2, table 7 ID #G0768.
[1] Reference calculation: https://github.com/GustavS193940/Catalogue-of-value-creation-processes-for-building-materials/blob/b19f72869c2b249eae2a71bcbf9176dfd2070a8f/Electricity%20Reference/README.md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</si>
</sst>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2" fontId="0" fillId="3" borderId="1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A30" sqref="A30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28</v>
      </c>
      <c r="B1" s="2"/>
      <c r="C1" s="22" t="s">
        <v>20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29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30</v>
      </c>
      <c r="C5" s="4"/>
      <c r="D5" s="4"/>
      <c r="E5" s="4"/>
      <c r="F5" s="4"/>
      <c r="G5" s="4"/>
    </row>
    <row r="6" spans="1:7" x14ac:dyDescent="0.25">
      <c r="A6" s="5" t="s">
        <v>2</v>
      </c>
      <c r="B6" s="27">
        <v>5.72</v>
      </c>
      <c r="C6" s="4" t="s">
        <v>31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24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0" t="s">
        <v>34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5" t="s">
        <v>18</v>
      </c>
      <c r="C14" s="45"/>
      <c r="D14" s="45"/>
      <c r="E14" s="45"/>
      <c r="F14" s="10" t="s">
        <v>8</v>
      </c>
      <c r="G14" s="11" t="s">
        <v>1</v>
      </c>
    </row>
    <row r="15" spans="1:7" x14ac:dyDescent="0.25">
      <c r="A15" s="12" t="s">
        <v>19</v>
      </c>
      <c r="B15" s="48" t="s">
        <v>25</v>
      </c>
      <c r="C15" s="48"/>
      <c r="D15" s="48"/>
      <c r="E15" s="48"/>
      <c r="F15" s="28">
        <f>B6*0.989</f>
        <v>5.6570799999999997</v>
      </c>
      <c r="G15" s="13" t="s">
        <v>32</v>
      </c>
    </row>
    <row r="16" spans="1:7" ht="45" customHeight="1" x14ac:dyDescent="0.25">
      <c r="A16" s="20" t="s">
        <v>9</v>
      </c>
      <c r="B16" s="46" t="s">
        <v>21</v>
      </c>
      <c r="C16" s="46"/>
      <c r="D16" s="46"/>
      <c r="E16" s="46"/>
      <c r="F16" s="29">
        <f>B6*1000/1000</f>
        <v>5.72</v>
      </c>
      <c r="G16" s="21" t="s">
        <v>33</v>
      </c>
    </row>
    <row r="17" spans="1:7" ht="46.5" customHeight="1" x14ac:dyDescent="0.25">
      <c r="A17" s="24" t="s">
        <v>23</v>
      </c>
      <c r="B17" s="49" t="s">
        <v>27</v>
      </c>
      <c r="C17" s="49"/>
      <c r="D17" s="49"/>
      <c r="E17" s="49"/>
      <c r="F17" s="26">
        <f>B6</f>
        <v>5.72</v>
      </c>
      <c r="G17" s="25" t="s">
        <v>10</v>
      </c>
    </row>
    <row r="18" spans="1:7" ht="30.75" customHeight="1" thickBot="1" x14ac:dyDescent="0.3">
      <c r="A18" s="8" t="s">
        <v>22</v>
      </c>
      <c r="B18" s="47" t="s">
        <v>26</v>
      </c>
      <c r="C18" s="47"/>
      <c r="D18" s="47"/>
      <c r="E18" s="47"/>
      <c r="F18" s="23">
        <f>-B6</f>
        <v>-5.72</v>
      </c>
      <c r="G18" s="14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9" t="s">
        <v>3</v>
      </c>
      <c r="B21" s="15" t="s">
        <v>16</v>
      </c>
      <c r="C21" s="15" t="s">
        <v>13</v>
      </c>
      <c r="D21" s="43" t="s">
        <v>14</v>
      </c>
      <c r="E21" s="43"/>
      <c r="F21" s="43" t="s">
        <v>15</v>
      </c>
      <c r="G21" s="44"/>
    </row>
    <row r="22" spans="1:7" x14ac:dyDescent="0.25">
      <c r="A22" s="12" t="s">
        <v>19</v>
      </c>
      <c r="B22" s="17">
        <v>2.7999999999999998E-4</v>
      </c>
      <c r="C22" s="17">
        <v>6.3399999999999996E-5</v>
      </c>
      <c r="D22" s="35">
        <v>2.4399999999999999E-6</v>
      </c>
      <c r="E22" s="35"/>
      <c r="F22" s="35">
        <v>6.9200000000000002E-5</v>
      </c>
      <c r="G22" s="36"/>
    </row>
    <row r="23" spans="1:7" x14ac:dyDescent="0.25">
      <c r="A23" s="20" t="s">
        <v>9</v>
      </c>
      <c r="B23" s="16">
        <v>0.59699999999999998</v>
      </c>
      <c r="C23" s="16">
        <v>4.5600000000000002E-2</v>
      </c>
      <c r="D23" s="37">
        <v>1.5E-3</v>
      </c>
      <c r="E23" s="37"/>
      <c r="F23" s="37">
        <v>0.20100000000000001</v>
      </c>
      <c r="G23" s="38"/>
    </row>
    <row r="24" spans="1:7" x14ac:dyDescent="0.25">
      <c r="A24" s="20" t="s">
        <v>23</v>
      </c>
      <c r="B24" s="16">
        <v>4.32</v>
      </c>
      <c r="C24" s="16">
        <v>9.2100000000000001E-2</v>
      </c>
      <c r="D24" s="37">
        <v>1.14E-2</v>
      </c>
      <c r="E24" s="37"/>
      <c r="F24" s="37">
        <v>1.41</v>
      </c>
      <c r="G24" s="38"/>
    </row>
    <row r="25" spans="1:7" ht="15.75" thickBot="1" x14ac:dyDescent="0.3">
      <c r="A25" s="8" t="s">
        <v>22</v>
      </c>
      <c r="B25" s="18">
        <v>-10.7</v>
      </c>
      <c r="C25" s="18">
        <v>-0.22600000000000001</v>
      </c>
      <c r="D25" s="33">
        <v>-0.371</v>
      </c>
      <c r="E25" s="33"/>
      <c r="F25" s="33">
        <v>-2.41</v>
      </c>
      <c r="G25" s="39"/>
    </row>
    <row r="26" spans="1:7" ht="15.75" thickBot="1" x14ac:dyDescent="0.3">
      <c r="A26" s="9" t="s">
        <v>17</v>
      </c>
      <c r="B26" s="19">
        <v>-5.83</v>
      </c>
      <c r="C26" s="19">
        <v>-8.8400000000000006E-2</v>
      </c>
      <c r="D26" s="34">
        <v>-0.35799999999999998</v>
      </c>
      <c r="E26" s="34"/>
      <c r="F26" s="34">
        <v>-0.79600000000000004</v>
      </c>
      <c r="G26" s="40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14.75" customHeight="1" thickBot="1" x14ac:dyDescent="0.3">
      <c r="A29" s="30" t="s">
        <v>35</v>
      </c>
      <c r="B29" s="31"/>
      <c r="C29" s="31"/>
      <c r="D29" s="31"/>
      <c r="E29" s="31"/>
      <c r="F29" s="31"/>
      <c r="G29" s="32"/>
    </row>
  </sheetData>
  <mergeCells count="20">
    <mergeCell ref="B8:C8"/>
    <mergeCell ref="D21:E21"/>
    <mergeCell ref="F21:G21"/>
    <mergeCell ref="D22:E22"/>
    <mergeCell ref="D23:E23"/>
    <mergeCell ref="A11:G11"/>
    <mergeCell ref="B14:E14"/>
    <mergeCell ref="B16:E16"/>
    <mergeCell ref="B18:E18"/>
    <mergeCell ref="B15:E15"/>
    <mergeCell ref="B17:E17"/>
    <mergeCell ref="A29:G29"/>
    <mergeCell ref="D25:E25"/>
    <mergeCell ref="D26:E26"/>
    <mergeCell ref="F22:G22"/>
    <mergeCell ref="F23:G23"/>
    <mergeCell ref="F25:G25"/>
    <mergeCell ref="F26:G26"/>
    <mergeCell ref="D24:E24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SSH_RC_01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2026-06-21T20:29:38Z</dcterms:modified>
</cp:coreProperties>
</file>