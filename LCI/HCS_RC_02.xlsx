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BD35905-BF0C-4C88-9E51-05EC4B9E3DD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HCS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<sst xmlns="http://schemas.openxmlformats.org/spreadsheetml/2006/main" count="56" uniqueCount="43">
  <si>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</si>
  <si>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</si>
  <si>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</si>
  <si>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</si>
  <si>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</si>
  <si>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</si>
  <si>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</si>
  <si>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</si>
  <si>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</si>
  <si>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</si>
  <si>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</si>
  <si>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</si>
  <si>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</si>
  <si>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</si>
  <si>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</si>
  <si>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</si>
  <si>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</si>
  <si>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</si>
  <si>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</si>
  <si>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</si>
  <si>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</si>
  <si>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</si>
  <si>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</si>
  <si>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</si>
  <si>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</si>
  <si>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</si>
  <si>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</si>
  <si>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</si>
  <si>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</si>
  <si>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</si>
  <si>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</si>
  <si>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</si>
  <si>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</si>
  <si>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</si>
  <si>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</si>
  <si>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</si>
  <si>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</si>
  <si>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</si>
  <si>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Hollow Core Slab</t>
  </si>
  <si>
    <t>1 m³ hollow core slab is extracted from the building using diesel-driven machinery. Assumed diesel use of 1.4 L/t material based on a report from the Danish Environmental Protection Agency [1]. The core slab is transported 100 km by truck to a facility in Denmark where it is crushed into rubble, which replaces gravel in road fill. The reinforcement steel (making up approximately 2% of the total weight) is then transported another 1000 km by truck to a facility in Europe where it is melted, replacing virgin steel in the production of new steel.</t>
  </si>
  <si>
    <t>HCS_RC_02 - Life Cycle Inventory</t>
  </si>
  <si>
    <t>Recycling (Road Fill)</t>
  </si>
  <si>
    <t>Mass factor determined from Danish industry EPD for hollow core slabs MD-20017-DA [2] (average weight per m³, includes holes)
Diesel density assumed to be 0.845 kg/L with an energy density of 42.7 MJ/kg.
EcoInvent process for avoided concrete element assumes density of 2438 kg/m³, so volume has been scaled down to match the weight of the reused element.
[1] Miljøstyrelsen: https://www2.mst.dk/Udgiv/publikationer/2022/02/978-87-7038-353-0.pdf
[2] MD-20017-DA: https://www.epddanmark.dk/media/ksolk4dz/md-20017-da_rev2-betonelement-foreningen.pdf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</si>
</sst>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8"/>
  <sheetViews>
    <sheetView tabSelected="1" view="pageLayout" topLeftCell="A8" zoomScaleNormal="100" workbookViewId="0">
      <selection activeCell="A37" sqref="A37:G3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21" t="s">
        <v>37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3" t="s">
        <v>38</v>
      </c>
      <c r="C3" s="3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1471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41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35" t="s">
        <v>39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0" t="s">
        <v>19</v>
      </c>
      <c r="C14" s="50"/>
      <c r="D14" s="50"/>
      <c r="E14" s="50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52" t="s">
        <v>21</v>
      </c>
      <c r="C15" s="52"/>
      <c r="D15" s="52"/>
      <c r="E15" s="52"/>
      <c r="F15" s="32">
        <f>B6*1.4/1000*0.845*42.7</f>
        <v>74.306241100000008</v>
      </c>
      <c r="G15" s="12" t="s">
        <v>22</v>
      </c>
    </row>
    <row r="16" spans="1:7" ht="45" customHeight="1" x14ac:dyDescent="0.25">
      <c r="A16" s="19" t="s">
        <v>9</v>
      </c>
      <c r="B16" s="51" t="s">
        <v>18</v>
      </c>
      <c r="C16" s="51"/>
      <c r="D16" s="51"/>
      <c r="E16" s="51"/>
      <c r="F16" s="24">
        <f>B6*100/1000</f>
        <v>147.1</v>
      </c>
      <c r="G16" s="20" t="s">
        <v>23</v>
      </c>
    </row>
    <row r="17" spans="1:7" x14ac:dyDescent="0.25">
      <c r="A17" s="25" t="s">
        <v>26</v>
      </c>
      <c r="B17" s="53" t="s">
        <v>27</v>
      </c>
      <c r="C17" s="53"/>
      <c r="D17" s="53"/>
      <c r="E17" s="53"/>
      <c r="F17" s="26">
        <f>B6</f>
        <v>1471</v>
      </c>
      <c r="G17" s="27" t="s">
        <v>10</v>
      </c>
    </row>
    <row r="18" spans="1:7" ht="45" customHeight="1" x14ac:dyDescent="0.25">
      <c r="A18" s="29" t="s">
        <v>34</v>
      </c>
      <c r="B18" s="51" t="s">
        <v>30</v>
      </c>
      <c r="C18" s="51"/>
      <c r="D18" s="51"/>
      <c r="E18" s="51"/>
      <c r="F18" s="28">
        <f>B6*0.02*1000/1000</f>
        <v>29.42</v>
      </c>
      <c r="G18" s="20" t="s">
        <v>23</v>
      </c>
    </row>
    <row r="19" spans="1:7" ht="46.5" customHeight="1" x14ac:dyDescent="0.25">
      <c r="A19" s="30" t="s">
        <v>35</v>
      </c>
      <c r="B19" s="53" t="s">
        <v>31</v>
      </c>
      <c r="C19" s="53"/>
      <c r="D19" s="53"/>
      <c r="E19" s="53"/>
      <c r="F19" s="31">
        <f>B6*0.02</f>
        <v>29.42</v>
      </c>
      <c r="G19" s="27" t="s">
        <v>10</v>
      </c>
    </row>
    <row r="20" spans="1:7" ht="30.75" customHeight="1" x14ac:dyDescent="0.25">
      <c r="A20" s="25" t="s">
        <v>32</v>
      </c>
      <c r="B20" s="53" t="s">
        <v>33</v>
      </c>
      <c r="C20" s="53"/>
      <c r="D20" s="53"/>
      <c r="E20" s="53"/>
      <c r="F20" s="31">
        <f>-B6*0.02</f>
        <v>-29.42</v>
      </c>
      <c r="G20" s="27" t="s">
        <v>10</v>
      </c>
    </row>
    <row r="21" spans="1:7" ht="32.25" customHeight="1" thickBot="1" x14ac:dyDescent="0.3">
      <c r="A21" s="7" t="s">
        <v>28</v>
      </c>
      <c r="B21" s="54" t="s">
        <v>29</v>
      </c>
      <c r="C21" s="54"/>
      <c r="D21" s="54"/>
      <c r="E21" s="54"/>
      <c r="F21" s="23">
        <f>-B6*0.98</f>
        <v>-1441.58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40</v>
      </c>
      <c r="B23" s="2"/>
      <c r="C23" s="21" t="s">
        <v>36</v>
      </c>
      <c r="D23" s="2"/>
      <c r="E23" s="2"/>
      <c r="F23" s="2"/>
      <c r="G23" s="3">
        <v>46194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48" t="s">
        <v>14</v>
      </c>
      <c r="E26" s="48"/>
      <c r="F26" s="48" t="s">
        <v>15</v>
      </c>
      <c r="G26" s="49"/>
    </row>
    <row r="27" spans="1:7" x14ac:dyDescent="0.25">
      <c r="A27" s="11" t="s">
        <v>20</v>
      </c>
      <c r="B27" s="16">
        <v>10.1</v>
      </c>
      <c r="C27" s="16">
        <v>0.89300000000000002</v>
      </c>
      <c r="D27" s="40">
        <v>5.6599999999999998E-2</v>
      </c>
      <c r="E27" s="40"/>
      <c r="F27" s="40">
        <v>2.82</v>
      </c>
      <c r="G27" s="41"/>
    </row>
    <row r="28" spans="1:7" x14ac:dyDescent="0.25">
      <c r="A28" s="19" t="s">
        <v>9</v>
      </c>
      <c r="B28" s="15">
        <v>28.1</v>
      </c>
      <c r="C28" s="15">
        <v>1.25</v>
      </c>
      <c r="D28" s="42">
        <v>7.4099999999999999E-2</v>
      </c>
      <c r="E28" s="42"/>
      <c r="F28" s="42">
        <v>8.86</v>
      </c>
      <c r="G28" s="43"/>
    </row>
    <row r="29" spans="1:7" x14ac:dyDescent="0.25">
      <c r="A29" s="25" t="s">
        <v>26</v>
      </c>
      <c r="B29" s="15">
        <v>0.39500000000000002</v>
      </c>
      <c r="C29" s="15">
        <v>1.1900000000000001E-2</v>
      </c>
      <c r="D29" s="42">
        <v>1.2600000000000001E-3</v>
      </c>
      <c r="E29" s="42"/>
      <c r="F29" s="42">
        <v>0.108</v>
      </c>
      <c r="G29" s="43"/>
    </row>
    <row r="30" spans="1:7" ht="30" x14ac:dyDescent="0.25">
      <c r="A30" s="29" t="s">
        <v>34</v>
      </c>
      <c r="B30" s="15">
        <v>3.07</v>
      </c>
      <c r="C30" s="15">
        <v>0.23400000000000001</v>
      </c>
      <c r="D30" s="42">
        <v>7.7299999999999999E-3</v>
      </c>
      <c r="E30" s="42"/>
      <c r="F30" s="42">
        <v>1.03</v>
      </c>
      <c r="G30" s="43"/>
    </row>
    <row r="31" spans="1:7" ht="30" x14ac:dyDescent="0.25">
      <c r="A31" s="30" t="s">
        <v>35</v>
      </c>
      <c r="B31" s="15">
        <v>22.2</v>
      </c>
      <c r="C31" s="15">
        <v>0.47299999999999998</v>
      </c>
      <c r="D31" s="42">
        <v>5.8400000000000001E-2</v>
      </c>
      <c r="E31" s="42"/>
      <c r="F31" s="42">
        <v>7.26</v>
      </c>
      <c r="G31" s="43"/>
    </row>
    <row r="32" spans="1:7" x14ac:dyDescent="0.25">
      <c r="A32" s="25" t="s">
        <v>32</v>
      </c>
      <c r="B32" s="15">
        <v>-55.2</v>
      </c>
      <c r="C32" s="15">
        <v>-1.1599999999999999</v>
      </c>
      <c r="D32" s="42">
        <v>-1.91</v>
      </c>
      <c r="E32" s="42"/>
      <c r="F32" s="42">
        <v>-12.4</v>
      </c>
      <c r="G32" s="43"/>
    </row>
    <row r="33" spans="1:7" ht="15.75" thickBot="1" x14ac:dyDescent="0.3">
      <c r="A33" s="7" t="s">
        <v>28</v>
      </c>
      <c r="B33" s="17">
        <v>-26.9</v>
      </c>
      <c r="C33" s="17">
        <v>-3.28</v>
      </c>
      <c r="D33" s="38">
        <v>-0.122</v>
      </c>
      <c r="E33" s="38"/>
      <c r="F33" s="38">
        <v>-7.51</v>
      </c>
      <c r="G33" s="44"/>
    </row>
    <row r="34" spans="1:7" ht="15.75" thickBot="1" x14ac:dyDescent="0.3">
      <c r="A34" s="8" t="s">
        <v>17</v>
      </c>
      <c r="B34" s="18">
        <v>-18.2</v>
      </c>
      <c r="C34" s="18">
        <v>-1.58</v>
      </c>
      <c r="D34" s="39">
        <v>-1.83</v>
      </c>
      <c r="E34" s="39"/>
      <c r="F34" s="39">
        <v>0.17699999999999999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27.5" customHeight="1" thickBot="1" x14ac:dyDescent="0.3">
      <c r="A37" s="35" t="s">
        <v>42</v>
      </c>
      <c r="B37" s="36"/>
      <c r="C37" s="36"/>
      <c r="D37" s="36"/>
      <c r="E37" s="36"/>
      <c r="F37" s="36"/>
      <c r="G37" s="37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</sheetData>
  <mergeCells count="30">
    <mergeCell ref="D30:E30"/>
    <mergeCell ref="F30:G30"/>
    <mergeCell ref="D31:E31"/>
    <mergeCell ref="F31:G31"/>
    <mergeCell ref="D32:E32"/>
    <mergeCell ref="F32:G32"/>
    <mergeCell ref="F29:G29"/>
    <mergeCell ref="B15:E15"/>
    <mergeCell ref="B17:E17"/>
    <mergeCell ref="B21:E21"/>
    <mergeCell ref="D29:E29"/>
    <mergeCell ref="B18:E18"/>
    <mergeCell ref="B19:E19"/>
    <mergeCell ref="B20:E20"/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HCS_RC_02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2026-06-21T15:09:31Z</dcterms:modified>
</cp:coreProperties>
</file>