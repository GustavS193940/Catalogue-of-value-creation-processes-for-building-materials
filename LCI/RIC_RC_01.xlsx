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52B2A5F-91A0-40E0-AD62-0522775FEF50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UIC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B6" i="1"/>
  <c r="F17" i="1" s="1"/>
  <c r="F21" i="1" l="1"/>
  <c r="F16" i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<sst xmlns="http://schemas.openxmlformats.org/spreadsheetml/2006/main" count="56" uniqueCount="43">
  <si>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</si>
  <si>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</si>
  <si>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</si>
  <si>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</si>
  <si>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</si>
  <si>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</si>
  <si>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</si>
  <si>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</si>
  <si>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</si>
  <si>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</si>
  <si>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</si>
  <si>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</si>
  <si>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</si>
  <si>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</si>
  <si>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</si>
  <si>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</si>
  <si>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</si>
  <si>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</si>
  <si>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</si>
  <si>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</si>
  <si>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</si>
  <si>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</si>
  <si>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</si>
  <si>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</si>
  <si>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Unreinforced Insitu Concrete</t>
  </si>
  <si>
    <t>1 m³</t>
  </si>
  <si>
    <t>kg/m³</t>
  </si>
  <si>
    <t>UIC_RC_01 - Life Cycle Inventory</t>
  </si>
  <si>
    <t>Recycling (New Concrete)</t>
  </si>
  <si>
    <t>Crushing</t>
  </si>
  <si>
    <t>Rock crushing {RER}| rock crushing | Cut-off, S</t>
  </si>
  <si>
    <t>Avoided gravel</t>
  </si>
  <si>
    <t>Gravel, crushed {RoW}| market for gravel, crushed | Cut-off, S</t>
  </si>
  <si>
    <t>Mass factor determined from BR18, appendix 2, table 7 ID #B1441, with 30 kg reinforcement steel per m³.
Diesel density assumed to be 0.845 kg/L with an energy density of 42.7 MJ/kg.
[1] Miljøstyrelsen: https://www2.mst.dk/Udgiv/publikationer/2022/02/978-87-7038-353-0.pdf</t>
  </si>
  <si>
    <t>1 m³ reinforced concrete is extracted from the building using diesel-driven machinery. Assumed diesel use of 1.4 L/t material based on a report from the Danish Environmental Protection Agency [1]. The reinforced concrete is transported 100 km by truck to a facility in Denmark where it is crushed into rubble, of which approximately 60% of the concrete replaces gravel as aggregate in production of new concrete and the remaining 40% replaces gravel in road fill. The reinforcement steel is then transported another 1000 km by truck to a facility in Europe where it is melted, replacing virgin steel in the production of new steel.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</si>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</sst>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7"/>
  <sheetViews>
    <sheetView tabSelected="1" view="pageLayout" topLeftCell="A23" zoomScaleNormal="100" workbookViewId="0">
      <selection activeCell="A34" sqref="A34:XFD34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1" t="s">
        <v>42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9" t="s">
        <v>24</v>
      </c>
      <c r="C3" s="40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25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2267+30</f>
        <v>2297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50" t="s">
        <v>28</v>
      </c>
      <c r="C8" s="5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41" t="s">
        <v>34</v>
      </c>
      <c r="B11" s="42"/>
      <c r="C11" s="42"/>
      <c r="D11" s="42"/>
      <c r="E11" s="42"/>
      <c r="F11" s="42"/>
      <c r="G11" s="4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4" t="s">
        <v>19</v>
      </c>
      <c r="C14" s="54"/>
      <c r="D14" s="54"/>
      <c r="E14" s="54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35" t="s">
        <v>21</v>
      </c>
      <c r="C15" s="35"/>
      <c r="D15" s="35"/>
      <c r="E15" s="35"/>
      <c r="F15" s="25">
        <f>B6*1.4/1000*0.845*42.7</f>
        <v>116.03088770000001</v>
      </c>
      <c r="G15" s="12" t="s">
        <v>22</v>
      </c>
    </row>
    <row r="16" spans="1:7" ht="45" customHeight="1" x14ac:dyDescent="0.25">
      <c r="A16" s="19" t="s">
        <v>9</v>
      </c>
      <c r="B16" s="38" t="s">
        <v>18</v>
      </c>
      <c r="C16" s="38"/>
      <c r="D16" s="38"/>
      <c r="E16" s="38"/>
      <c r="F16" s="24">
        <f>B6*100/1000</f>
        <v>229.7</v>
      </c>
      <c r="G16" s="20" t="s">
        <v>23</v>
      </c>
    </row>
    <row r="17" spans="1:7" x14ac:dyDescent="0.25">
      <c r="A17" s="26" t="s">
        <v>29</v>
      </c>
      <c r="B17" s="36" t="s">
        <v>30</v>
      </c>
      <c r="C17" s="36"/>
      <c r="D17" s="36"/>
      <c r="E17" s="36"/>
      <c r="F17" s="27">
        <f>B6</f>
        <v>2297</v>
      </c>
      <c r="G17" s="28" t="s">
        <v>10</v>
      </c>
    </row>
    <row r="18" spans="1:7" ht="45" customHeight="1" x14ac:dyDescent="0.25">
      <c r="A18" s="30" t="s">
        <v>39</v>
      </c>
      <c r="B18" s="38" t="s">
        <v>35</v>
      </c>
      <c r="C18" s="38"/>
      <c r="D18" s="38"/>
      <c r="E18" s="38"/>
      <c r="F18" s="29">
        <f>30*1000/1000</f>
        <v>30</v>
      </c>
      <c r="G18" s="20" t="s">
        <v>23</v>
      </c>
    </row>
    <row r="19" spans="1:7" ht="46.5" customHeight="1" x14ac:dyDescent="0.25">
      <c r="A19" s="31" t="s">
        <v>40</v>
      </c>
      <c r="B19" s="36" t="s">
        <v>36</v>
      </c>
      <c r="C19" s="36"/>
      <c r="D19" s="36"/>
      <c r="E19" s="36"/>
      <c r="F19" s="32">
        <f>30</f>
        <v>30</v>
      </c>
      <c r="G19" s="28" t="s">
        <v>10</v>
      </c>
    </row>
    <row r="20" spans="1:7" ht="30.75" customHeight="1" x14ac:dyDescent="0.25">
      <c r="A20" s="26" t="s">
        <v>37</v>
      </c>
      <c r="B20" s="36" t="s">
        <v>38</v>
      </c>
      <c r="C20" s="36"/>
      <c r="D20" s="36"/>
      <c r="E20" s="36"/>
      <c r="F20" s="32">
        <v>-30</v>
      </c>
      <c r="G20" s="28" t="s">
        <v>10</v>
      </c>
    </row>
    <row r="21" spans="1:7" ht="32.25" customHeight="1" thickBot="1" x14ac:dyDescent="0.3">
      <c r="A21" s="7" t="s">
        <v>31</v>
      </c>
      <c r="B21" s="37" t="s">
        <v>32</v>
      </c>
      <c r="C21" s="37"/>
      <c r="D21" s="37"/>
      <c r="E21" s="37"/>
      <c r="F21" s="23">
        <f>-(B6-30)</f>
        <v>-2267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27</v>
      </c>
      <c r="B23" s="2"/>
      <c r="C23" s="21" t="s">
        <v>41</v>
      </c>
      <c r="D23" s="2"/>
      <c r="E23" s="2"/>
      <c r="F23" s="2"/>
      <c r="G23" s="3">
        <v>46191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16</v>
      </c>
      <c r="C26" s="14" t="s">
        <v>13</v>
      </c>
      <c r="D26" s="52" t="s">
        <v>14</v>
      </c>
      <c r="E26" s="52"/>
      <c r="F26" s="52" t="s">
        <v>15</v>
      </c>
      <c r="G26" s="53"/>
    </row>
    <row r="27" spans="1:7" x14ac:dyDescent="0.25">
      <c r="A27" s="11" t="s">
        <v>20</v>
      </c>
      <c r="B27" s="16">
        <v>11.9</v>
      </c>
      <c r="C27" s="16">
        <v>8.3599999999999994E-2</v>
      </c>
      <c r="D27" s="46">
        <v>1.9199999999999998E-2</v>
      </c>
      <c r="E27" s="46"/>
      <c r="F27" s="46">
        <v>3.5</v>
      </c>
      <c r="G27" s="47"/>
    </row>
    <row r="28" spans="1:7" x14ac:dyDescent="0.25">
      <c r="A28" s="19" t="s">
        <v>9</v>
      </c>
      <c r="B28" s="15">
        <v>44</v>
      </c>
      <c r="C28" s="15">
        <v>1.96</v>
      </c>
      <c r="D28" s="33">
        <v>0.11600000000000001</v>
      </c>
      <c r="E28" s="33"/>
      <c r="F28" s="33">
        <v>13.9</v>
      </c>
      <c r="G28" s="34"/>
    </row>
    <row r="29" spans="1:7" x14ac:dyDescent="0.25">
      <c r="A29" s="26" t="s">
        <v>29</v>
      </c>
      <c r="B29" s="15">
        <v>0.61699999999999999</v>
      </c>
      <c r="C29" s="15">
        <v>1.8599999999999998E-2</v>
      </c>
      <c r="D29" s="33">
        <v>1.9599999999999999E-3</v>
      </c>
      <c r="E29" s="33"/>
      <c r="F29" s="33">
        <v>0.16900000000000001</v>
      </c>
      <c r="G29" s="34"/>
    </row>
    <row r="30" spans="1:7" ht="30" x14ac:dyDescent="0.25">
      <c r="A30" s="30" t="s">
        <v>39</v>
      </c>
      <c r="B30" s="15">
        <v>3.13</v>
      </c>
      <c r="C30" s="15">
        <v>0.23899999999999999</v>
      </c>
      <c r="D30" s="33">
        <v>7.8899999999999994E-3</v>
      </c>
      <c r="E30" s="33"/>
      <c r="F30" s="33">
        <v>1.05</v>
      </c>
      <c r="G30" s="34"/>
    </row>
    <row r="31" spans="1:7" ht="30" x14ac:dyDescent="0.25">
      <c r="A31" s="31" t="s">
        <v>40</v>
      </c>
      <c r="B31" s="15">
        <v>22.7</v>
      </c>
      <c r="C31" s="15">
        <v>0.48299999999999998</v>
      </c>
      <c r="D31" s="33">
        <v>5.96E-2</v>
      </c>
      <c r="E31" s="33"/>
      <c r="F31" s="33">
        <v>7.41</v>
      </c>
      <c r="G31" s="34"/>
    </row>
    <row r="32" spans="1:7" x14ac:dyDescent="0.25">
      <c r="A32" s="26" t="s">
        <v>37</v>
      </c>
      <c r="B32" s="15">
        <v>-56.3</v>
      </c>
      <c r="C32" s="15">
        <v>-1.19</v>
      </c>
      <c r="D32" s="33">
        <v>-1.94</v>
      </c>
      <c r="E32" s="33"/>
      <c r="F32" s="33">
        <v>-12.6</v>
      </c>
      <c r="G32" s="34"/>
    </row>
    <row r="33" spans="1:7" ht="15.75" thickBot="1" x14ac:dyDescent="0.3">
      <c r="A33" s="7" t="s">
        <v>31</v>
      </c>
      <c r="B33" s="17">
        <v>-42.3</v>
      </c>
      <c r="C33" s="17">
        <v>-5.15</v>
      </c>
      <c r="D33" s="44">
        <v>-0.192</v>
      </c>
      <c r="E33" s="44"/>
      <c r="F33" s="44">
        <v>-11.8</v>
      </c>
      <c r="G33" s="48"/>
    </row>
    <row r="34" spans="1:7" ht="15.75" thickBot="1" x14ac:dyDescent="0.3">
      <c r="A34" s="8" t="s">
        <v>17</v>
      </c>
      <c r="B34" s="18">
        <v>-16.399999999999999</v>
      </c>
      <c r="C34" s="18">
        <v>-3.56</v>
      </c>
      <c r="D34" s="45">
        <v>-1.93</v>
      </c>
      <c r="E34" s="45"/>
      <c r="F34" s="45">
        <v>1.53</v>
      </c>
      <c r="G34" s="4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14.75" customHeight="1" thickBot="1" x14ac:dyDescent="0.3">
      <c r="A37" s="41" t="s">
        <v>33</v>
      </c>
      <c r="B37" s="42"/>
      <c r="C37" s="42"/>
      <c r="D37" s="42"/>
      <c r="E37" s="42"/>
      <c r="F37" s="42"/>
      <c r="G37" s="43"/>
    </row>
  </sheetData>
  <mergeCells count="30"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  <mergeCell ref="F29:G29"/>
    <mergeCell ref="B15:E15"/>
    <mergeCell ref="B17:E17"/>
    <mergeCell ref="B21:E21"/>
    <mergeCell ref="D29:E29"/>
    <mergeCell ref="B18:E18"/>
    <mergeCell ref="B19:E19"/>
    <mergeCell ref="B20:E20"/>
    <mergeCell ref="D30:E30"/>
    <mergeCell ref="F30:G30"/>
    <mergeCell ref="D31:E31"/>
    <mergeCell ref="F31:G31"/>
    <mergeCell ref="D32:E32"/>
    <mergeCell ref="F32:G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UIC_RC_01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2026-06-18T18:52:13Z</dcterms:modified>
</cp:coreProperties>
</file>