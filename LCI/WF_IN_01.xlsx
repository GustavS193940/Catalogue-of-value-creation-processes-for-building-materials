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76064B3-9822-4A8D-8BD8-003611DE4D43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WF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6" i="1"/>
  <c r="F15" i="1"/>
  <c r="F17" i="1" l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<sst xmlns="http://schemas.openxmlformats.org/spreadsheetml/2006/main" count="48" uniqueCount="39">
  <si>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</si>
  <si>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</si>
  <si>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</si>
  <si>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</si>
  <si>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</si>
  <si>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</si>
  <si>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</si>
  <si>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</si>
  <si>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</si>
  <si>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</si>
  <si>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</si>
  <si>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</si>
  <si>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</si>
  <si>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</si>
  <si>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</si>
  <si>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</si>
  <si>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</si>
  <si>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</si>
  <si>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</si>
  <si>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</si>
  <si>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</si>
  <si>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</si>
  <si>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</si>
  <si>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</si>
  <si>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</si>
  <si>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</si>
  <si>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</si>
  <si>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2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</si>
  <si>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</si>
  <si>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</si>
  <si>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</si>
  <si>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WF_IN_01 - Life Cycle Inventory</t>
  </si>
  <si>
    <t>Wood Floor</t>
  </si>
  <si>
    <t>1 m²</t>
  </si>
  <si>
    <t>kg/m²</t>
  </si>
  <si>
    <t>1 m² of wood floor is extracted from the building diesel-driven machinery. Assumed diesel use of 1.4 L/t material based on a report from the Danish Environmental Protection Agency (2022) [1]. The wood floor is transported 50 km by truck to a municipal incineration plant where it is incinerated for energy recovery. Heat recovery of 2.98 MJ/kg wood floor and electricity recovery of 2.73 MJ/kg wood calculated as an average from Junckers floor EPDs [2, 3, 4, 5].</t>
  </si>
  <si>
    <t>Mass factor determined from BR18, appendix 2, table 7 ID #G1134.
Diesel density assumed to be 0.845 kg/L with an energy density of 42.7 MJ/kg.
[1] Miljøstyrelsen (2022): https://www2.mst.dk/Udgiv/publikationer/2022/02/978-87-7038-353-0.pdf
[2] MD-25119-EN: https://www.epddanmark.dk/media/ohcf1221/md-25119-en.pdf
[3] MD-25120-EN: https://www.epddanmark.dk/media/ar0npdln/md-25120-en.pdf
[4] MD-25122-EN: https://www.epddanmark.dk/media/vobe2dbg/md-25122-en.pdf
[5] MD-25123-EN: https://www.epddanmark.dk/media/cr5k1nvg/md-25123-en.pdf</t>
  </si>
  <si>
    <t>kJ</t>
  </si>
  <si>
    <t>kgkm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</si>
</sst>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3" xfId="0" applyFill="1" applyBorder="1" applyAlignment="1">
      <alignment wrapText="1"/>
    </xf>
    <xf numFmtId="1" fontId="0" fillId="3" borderId="9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topLeftCell="A15" zoomScaleNormal="100" workbookViewId="0">
      <selection activeCell="G31" sqref="G3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31</v>
      </c>
      <c r="B1" s="2"/>
      <c r="C1" s="24" t="s">
        <v>27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32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33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11.5</v>
      </c>
      <c r="C6" s="4" t="s">
        <v>34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6" t="s">
        <v>22</v>
      </c>
      <c r="C8" s="3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0" t="s">
        <v>35</v>
      </c>
      <c r="B11" s="41"/>
      <c r="C11" s="41"/>
      <c r="D11" s="41"/>
      <c r="E11" s="41"/>
      <c r="F11" s="41"/>
      <c r="G11" s="4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3" t="s">
        <v>19</v>
      </c>
      <c r="C14" s="43"/>
      <c r="D14" s="43"/>
      <c r="E14" s="43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5" t="s">
        <v>28</v>
      </c>
      <c r="C15" s="45"/>
      <c r="D15" s="45"/>
      <c r="E15" s="45"/>
      <c r="F15" s="47">
        <f>B6*1.4/1000*0.845*42.7*1000</f>
        <v>580.91214999999988</v>
      </c>
      <c r="G15" s="13" t="s">
        <v>37</v>
      </c>
    </row>
    <row r="16" spans="1:7" ht="45" customHeight="1" x14ac:dyDescent="0.25">
      <c r="A16" s="20" t="s">
        <v>9</v>
      </c>
      <c r="B16" s="44" t="s">
        <v>18</v>
      </c>
      <c r="C16" s="44"/>
      <c r="D16" s="44"/>
      <c r="E16" s="44"/>
      <c r="F16" s="22">
        <f>B6*50</f>
        <v>575</v>
      </c>
      <c r="G16" s="21" t="s">
        <v>38</v>
      </c>
    </row>
    <row r="17" spans="1:7" ht="30.75" customHeight="1" x14ac:dyDescent="0.25">
      <c r="A17" s="20" t="s">
        <v>22</v>
      </c>
      <c r="B17" s="44" t="s">
        <v>30</v>
      </c>
      <c r="C17" s="44"/>
      <c r="D17" s="44"/>
      <c r="E17" s="44"/>
      <c r="F17" s="23">
        <f>B6</f>
        <v>11.5</v>
      </c>
      <c r="G17" s="21" t="s">
        <v>10</v>
      </c>
    </row>
    <row r="18" spans="1:7" ht="45.75" customHeight="1" x14ac:dyDescent="0.25">
      <c r="A18" s="20" t="s">
        <v>24</v>
      </c>
      <c r="B18" s="44" t="s">
        <v>25</v>
      </c>
      <c r="C18" s="44"/>
      <c r="D18" s="44"/>
      <c r="E18" s="44"/>
      <c r="F18" s="23">
        <f>-2.98*B6</f>
        <v>-34.270000000000003</v>
      </c>
      <c r="G18" s="21" t="s">
        <v>26</v>
      </c>
    </row>
    <row r="19" spans="1:7" ht="15.75" customHeight="1" thickBot="1" x14ac:dyDescent="0.3">
      <c r="A19" s="8" t="s">
        <v>23</v>
      </c>
      <c r="B19" s="46" t="s">
        <v>21</v>
      </c>
      <c r="C19" s="46"/>
      <c r="D19" s="46"/>
      <c r="E19" s="46"/>
      <c r="F19" s="48">
        <f>-2.73*B6</f>
        <v>-31.395</v>
      </c>
      <c r="G19" s="14" t="s">
        <v>26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5" t="s">
        <v>16</v>
      </c>
      <c r="C22" s="15" t="s">
        <v>13</v>
      </c>
      <c r="D22" s="38" t="s">
        <v>14</v>
      </c>
      <c r="E22" s="38"/>
      <c r="F22" s="38" t="s">
        <v>15</v>
      </c>
      <c r="G22" s="39"/>
    </row>
    <row r="23" spans="1:7" x14ac:dyDescent="0.25">
      <c r="A23" s="12" t="s">
        <v>20</v>
      </c>
      <c r="B23" s="17">
        <v>5.96E-2</v>
      </c>
      <c r="C23" s="17">
        <v>4.1899999999999999E-4</v>
      </c>
      <c r="D23" s="30">
        <v>9.6000000000000002E-5</v>
      </c>
      <c r="E23" s="30"/>
      <c r="F23" s="30">
        <v>1.7500000000000002E-2</v>
      </c>
      <c r="G23" s="31"/>
    </row>
    <row r="24" spans="1:7" x14ac:dyDescent="0.25">
      <c r="A24" s="20" t="s">
        <v>9</v>
      </c>
      <c r="B24" s="16">
        <v>0.11</v>
      </c>
      <c r="C24" s="16">
        <v>4.8900000000000002E-3</v>
      </c>
      <c r="D24" s="32">
        <v>2.9E-4</v>
      </c>
      <c r="E24" s="32"/>
      <c r="F24" s="32">
        <v>3.4700000000000002E-2</v>
      </c>
      <c r="G24" s="33"/>
    </row>
    <row r="25" spans="1:7" x14ac:dyDescent="0.25">
      <c r="A25" s="20" t="s">
        <v>22</v>
      </c>
      <c r="B25" s="16">
        <v>0.18099999999999999</v>
      </c>
      <c r="C25" s="16">
        <v>2.97E-3</v>
      </c>
      <c r="D25" s="32">
        <v>1.5299999999999999E-3</v>
      </c>
      <c r="E25" s="32"/>
      <c r="F25" s="32">
        <v>3.6900000000000002E-2</v>
      </c>
      <c r="G25" s="33"/>
    </row>
    <row r="26" spans="1:7" x14ac:dyDescent="0.25">
      <c r="A26" s="20" t="s">
        <v>24</v>
      </c>
      <c r="B26" s="16">
        <v>-2.5</v>
      </c>
      <c r="C26" s="16">
        <v>-0.14599999999999999</v>
      </c>
      <c r="D26" s="32">
        <v>-8.1099999999999998E-4</v>
      </c>
      <c r="E26" s="32"/>
      <c r="F26" s="32">
        <v>-0.54400000000000004</v>
      </c>
      <c r="G26" s="33"/>
    </row>
    <row r="27" spans="1:7" ht="15.75" thickBot="1" x14ac:dyDescent="0.3">
      <c r="A27" s="8" t="s">
        <v>23</v>
      </c>
      <c r="B27" s="18">
        <v>-1.56</v>
      </c>
      <c r="C27" s="18">
        <v>-0.35199999999999998</v>
      </c>
      <c r="D27" s="28">
        <v>-1.35E-2</v>
      </c>
      <c r="E27" s="28"/>
      <c r="F27" s="28">
        <v>-0.38400000000000001</v>
      </c>
      <c r="G27" s="34"/>
    </row>
    <row r="28" spans="1:7" ht="15.75" thickBot="1" x14ac:dyDescent="0.3">
      <c r="A28" s="9" t="s">
        <v>17</v>
      </c>
      <c r="B28" s="19">
        <v>-3.71</v>
      </c>
      <c r="C28" s="19">
        <v>-0.49</v>
      </c>
      <c r="D28" s="29">
        <v>-1.24E-2</v>
      </c>
      <c r="E28" s="29"/>
      <c r="F28" s="29">
        <v>-0.83899999999999997</v>
      </c>
      <c r="G28" s="35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31</v>
      </c>
      <c r="B30" s="2"/>
      <c r="C30" s="24" t="s">
        <v>29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08" customHeight="1" thickBot="1" x14ac:dyDescent="0.3">
      <c r="A33" s="25" t="s">
        <v>36</v>
      </c>
      <c r="B33" s="26"/>
      <c r="C33" s="26"/>
      <c r="D33" s="26"/>
      <c r="E33" s="26"/>
      <c r="F33" s="26"/>
      <c r="G33" s="27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6:E16"/>
    <mergeCell ref="B17:E17"/>
    <mergeCell ref="B15:E15"/>
    <mergeCell ref="B19:E19"/>
    <mergeCell ref="B18:E18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WF_IN_01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2026-06-21T12:43:21Z</dcterms:modified>
</cp:coreProperties>
</file>