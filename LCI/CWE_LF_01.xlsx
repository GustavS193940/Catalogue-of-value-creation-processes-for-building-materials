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C458DD6-BFAD-4E45-97A2-4AB6E758D15E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CWE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F16" i="1" s="1"/>
  <c r="F17" i="1" l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<sst xmlns="http://schemas.openxmlformats.org/spreadsheetml/2006/main" count="38" uniqueCount="33">
  <si>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</si>
  <si>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</si>
  <si>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</si>
  <si>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</si>
  <si>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</si>
  <si>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</si>
  <si>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</si>
  <si>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</si>
  <si>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</si>
  <si>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</si>
  <si>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</si>
  <si>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</si>
  <si>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</si>
  <si>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</si>
  <si>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</si>
  <si>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</si>
  <si>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</si>
  <si>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</si>
  <si>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</si>
  <si>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</si>
  <si>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</si>
  <si>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</si>
  <si>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</si>
  <si>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</si>
  <si>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</si>
  <si>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</si>
  <si>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1 m³</t>
  </si>
  <si>
    <t>kg/m³</t>
  </si>
  <si>
    <t>Waste concrete {Europe without Switzerland}| treatment of waste concrete, inert material landfill | Cut-off, S</t>
  </si>
  <si>
    <t>Concrete Wall Element</t>
  </si>
  <si>
    <t>CWE_LF_01 - Life Cycle Inventory</t>
  </si>
  <si>
    <t>Mass factor determined from BR18, appendix 2, table 7 ID #B1441, with 60 kg reinforcement steel per m³.
Diesel density assumed to be 0.845 kg/L with an energy density of 42.7 MJ/kg.
[1] Miljøstyrelsen: https://www2.mst.dk/Udgiv/publikationer/2022/02/978-87-7038-353-0.pdf</t>
  </si>
  <si>
    <t>1 m³ concrete wall element is extracted from the building using diesel-driven machinery. Assumed diesel use of 1.4 L/t material based on a report from the Danish Environmental Protection Agency [1]. The concrete wall element is transported 50 km by truck to a municipal landfill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</si>
</sst>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11" zoomScaleNormal="100" workbookViewId="0">
      <selection activeCell="A11" sqref="A11:G1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30</v>
      </c>
      <c r="B1" s="2"/>
      <c r="C1" s="21" t="s">
        <v>24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8" t="s">
        <v>29</v>
      </c>
      <c r="C3" s="29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2267+60</f>
        <v>2327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20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0" t="s">
        <v>32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5" t="s">
        <v>19</v>
      </c>
      <c r="C14" s="45"/>
      <c r="D14" s="45"/>
      <c r="E14" s="45"/>
      <c r="F14" s="9" t="s">
        <v>8</v>
      </c>
      <c r="G14" s="10" t="s">
        <v>1</v>
      </c>
    </row>
    <row r="15" spans="1:7" ht="32.25" customHeight="1" x14ac:dyDescent="0.25">
      <c r="A15" s="11" t="s">
        <v>21</v>
      </c>
      <c r="B15" s="27" t="s">
        <v>22</v>
      </c>
      <c r="C15" s="27"/>
      <c r="D15" s="27"/>
      <c r="E15" s="27"/>
      <c r="F15" s="25">
        <f>B6*1.4/1000*0.845*42.7</f>
        <v>117.54631069999999</v>
      </c>
      <c r="G15" s="12" t="s">
        <v>23</v>
      </c>
    </row>
    <row r="16" spans="1:7" ht="45" customHeight="1" x14ac:dyDescent="0.25">
      <c r="A16" s="19" t="s">
        <v>9</v>
      </c>
      <c r="B16" s="46" t="s">
        <v>18</v>
      </c>
      <c r="C16" s="46"/>
      <c r="D16" s="46"/>
      <c r="E16" s="46"/>
      <c r="F16" s="24">
        <f>B6*50/1000</f>
        <v>116.35</v>
      </c>
      <c r="G16" s="20" t="s">
        <v>25</v>
      </c>
    </row>
    <row r="17" spans="1:7" ht="32.25" customHeight="1" thickBot="1" x14ac:dyDescent="0.3">
      <c r="A17" s="7" t="s">
        <v>20</v>
      </c>
      <c r="B17" s="26" t="s">
        <v>28</v>
      </c>
      <c r="C17" s="26"/>
      <c r="D17" s="26"/>
      <c r="E17" s="26"/>
      <c r="F17" s="23">
        <f>B6</f>
        <v>2327</v>
      </c>
      <c r="G17" s="13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4" t="s">
        <v>16</v>
      </c>
      <c r="C20" s="14" t="s">
        <v>13</v>
      </c>
      <c r="D20" s="43" t="s">
        <v>14</v>
      </c>
      <c r="E20" s="43"/>
      <c r="F20" s="43" t="s">
        <v>15</v>
      </c>
      <c r="G20" s="44"/>
    </row>
    <row r="21" spans="1:7" x14ac:dyDescent="0.25">
      <c r="A21" s="11" t="s">
        <v>21</v>
      </c>
      <c r="B21" s="16">
        <v>12.1</v>
      </c>
      <c r="C21" s="16">
        <v>8.5099999999999995E-2</v>
      </c>
      <c r="D21" s="35">
        <v>1.95E-2</v>
      </c>
      <c r="E21" s="35"/>
      <c r="F21" s="35">
        <v>3.56</v>
      </c>
      <c r="G21" s="36"/>
    </row>
    <row r="22" spans="1:7" x14ac:dyDescent="0.25">
      <c r="A22" s="19" t="s">
        <v>9</v>
      </c>
      <c r="B22" s="15">
        <v>22.2</v>
      </c>
      <c r="C22" s="15">
        <v>0.98599999999999999</v>
      </c>
      <c r="D22" s="37">
        <v>5.8500000000000003E-2</v>
      </c>
      <c r="E22" s="37"/>
      <c r="F22" s="37">
        <v>6.99</v>
      </c>
      <c r="G22" s="38"/>
    </row>
    <row r="23" spans="1:7" ht="15.75" thickBot="1" x14ac:dyDescent="0.3">
      <c r="A23" s="7" t="s">
        <v>20</v>
      </c>
      <c r="B23" s="17">
        <v>15.1</v>
      </c>
      <c r="C23" s="17">
        <v>-0.83</v>
      </c>
      <c r="D23" s="33">
        <v>3.15E-2</v>
      </c>
      <c r="E23" s="33"/>
      <c r="F23" s="33">
        <v>8.19</v>
      </c>
      <c r="G23" s="39"/>
    </row>
    <row r="24" spans="1:7" ht="15.75" thickBot="1" x14ac:dyDescent="0.3">
      <c r="A24" s="8" t="s">
        <v>17</v>
      </c>
      <c r="B24" s="18">
        <v>49.4</v>
      </c>
      <c r="C24" s="18">
        <v>0.24099999999999999</v>
      </c>
      <c r="D24" s="34">
        <v>0.109</v>
      </c>
      <c r="E24" s="34"/>
      <c r="F24" s="34">
        <v>18.7</v>
      </c>
      <c r="G24" s="40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0" t="s">
        <v>31</v>
      </c>
      <c r="B27" s="31"/>
      <c r="C27" s="31"/>
      <c r="D27" s="31"/>
      <c r="E27" s="31"/>
      <c r="F27" s="31"/>
      <c r="G27" s="32"/>
    </row>
  </sheetData>
  <mergeCells count="18">
    <mergeCell ref="B14:E14"/>
    <mergeCell ref="B16:E16"/>
    <mergeCell ref="B17:E17"/>
    <mergeCell ref="B15:E15"/>
    <mergeCell ref="B3:C3"/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CWE_LF_01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2026-06-18T18:53:35Z</dcterms:modified>
</cp:coreProperties>
</file>