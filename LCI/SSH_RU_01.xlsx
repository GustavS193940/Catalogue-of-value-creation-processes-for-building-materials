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D0306683-5E08-4197-B309-F0A45503DC4E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SSH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" i="1" l="1"/>
  <c r="F19" i="1"/>
  <c r="F18" i="1"/>
  <c r="F17" i="1"/>
  <c r="F15" i="1"/>
  <c r="F16" i="1"/>
</calcChain>
</file>

<file path=xl/sharedStrings.xml><?xml version="1.0" encoding="utf-8"?>
<sst xmlns="http://schemas.openxmlformats.org/spreadsheetml/2006/main" count="52" uniqueCount="42">
  <si>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</si>
  <si>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</si>
  <si>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</si>
  <si>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</si>
  <si>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</si>
  <si>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</si>
  <si>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</si>
  <si>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</si>
  <si>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</si>
  <si>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</si>
  <si>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</si>
  <si>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</si>
  <si>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</si>
  <si>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</si>
  <si>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</si>
  <si>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</si>
  <si>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</si>
  <si>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EcoInvent process</t>
  </si>
  <si>
    <t>Disassembly</t>
  </si>
  <si>
    <t>kgkm</t>
  </si>
  <si>
    <t>Transport, freight, lorry, &gt;32 metric ton, diesel, EURO 6 {RER}| market for transport, freight, lorry, &gt;32 metric ton, diesel, EURO 6 | Cut-off, S</t>
  </si>
  <si>
    <t>Melting</t>
  </si>
  <si>
    <t>Electricity, low voltage {DK}| market for | Cut-off, S</t>
  </si>
  <si>
    <t>Steel, unalloyed {GLO}| market for steel, unalloyed | Cut-off, S</t>
  </si>
  <si>
    <t>Energy and auxilliary inputs, metal working machine {RER}| energy and auxilliary, metal working machine, with process heat from natural gas | Cut-off, S</t>
  </si>
  <si>
    <t>Transportation of residual</t>
  </si>
  <si>
    <t>Transport, freight, lorry 16-32 metric ton, euro6 {RER}| market for transport, freight, lorry 16-32 metric ton, EURO6 | Cut-off, S</t>
  </si>
  <si>
    <t>Avoided steel (residual)</t>
  </si>
  <si>
    <t>Avoided steel (reused)</t>
  </si>
  <si>
    <t>Steel, low-alloyed, hot rolled {GLO}| market for steel, low-alloyed, hot rolled | Cut-off, S</t>
  </si>
  <si>
    <t>Page 2 of 2</t>
  </si>
  <si>
    <t>Page 1 of 2</t>
  </si>
  <si>
    <t>SSH_RU_01 - Life Cycle Inventory</t>
  </si>
  <si>
    <t>Steel Sheets</t>
  </si>
  <si>
    <t>1 m²</t>
  </si>
  <si>
    <t>kg/m²</t>
  </si>
  <si>
    <t>Recycling</t>
  </si>
  <si>
    <t>kJ</t>
  </si>
  <si>
    <t>tkm</t>
  </si>
  <si>
    <t>kg</t>
  </si>
  <si>
    <t>Mass factor determined from BR18, appendix 2, table 7 ID #G0768.
[1] Reference calculation: https://github.com/GustavS193940/Catalogue-of-value-creation-processes-for-building-materials/blob/b19f72869c2b249eae2a71bcbf9176dfd2070a8f/Electricity%20Reference/README.md</t>
  </si>
  <si>
    <t>1 kg structural steel is extracted from the building using electric tools. Assumed electricity use of 0.989 kJ/kg steel based on reference calculation [1]. The structural steel is transported 100 km by truck to a facility in Denmark where the structural steel is reused. Assumed 80% of structural steel is reusable. The remaining 20% is transported another 1000 km by truck to a facility in Europe where it is melted, replacing virgin steel in the production of new steel.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</si>
</sst>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3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6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" fontId="0" fillId="3" borderId="14" xfId="0" applyNumberFormat="1" applyFill="1" applyBorder="1" applyAlignment="1">
      <alignment vertical="center"/>
    </xf>
    <xf numFmtId="0" fontId="0" fillId="3" borderId="13" xfId="0" applyFill="1" applyBorder="1" applyAlignment="1">
      <alignment vertical="center" wrapText="1"/>
    </xf>
    <xf numFmtId="0" fontId="0" fillId="3" borderId="16" xfId="0" applyFill="1" applyBorder="1" applyAlignment="1">
      <alignment vertical="center" wrapText="1"/>
    </xf>
    <xf numFmtId="2" fontId="0" fillId="3" borderId="0" xfId="0" applyNumberFormat="1" applyFill="1" applyAlignment="1">
      <alignment horizontal="center"/>
    </xf>
    <xf numFmtId="2" fontId="0" fillId="3" borderId="9" xfId="0" applyNumberFormat="1" applyFill="1" applyBorder="1" applyAlignment="1">
      <alignment vertical="center"/>
    </xf>
    <xf numFmtId="2" fontId="0" fillId="3" borderId="14" xfId="0" applyNumberFormat="1" applyFill="1" applyBorder="1" applyAlignment="1">
      <alignment vertical="center"/>
    </xf>
    <xf numFmtId="2" fontId="0" fillId="3" borderId="11" xfId="0" applyNumberFormat="1" applyFill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4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" xfId="0" applyFill="1" applyBorder="1" applyAlignment="1">
      <alignment wrapText="1"/>
    </xf>
    <xf numFmtId="11" fontId="0" fillId="3" borderId="1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7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71"/>
  <sheetViews>
    <sheetView tabSelected="1" view="pageLayout" zoomScaleNormal="100" workbookViewId="0">
      <selection activeCell="A12" sqref="A1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32</v>
      </c>
      <c r="B1" s="2"/>
      <c r="C1" s="22" t="s">
        <v>31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33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34</v>
      </c>
      <c r="C5" s="4"/>
      <c r="D5" s="4"/>
      <c r="E5" s="4"/>
      <c r="F5" s="4"/>
      <c r="G5" s="4"/>
    </row>
    <row r="6" spans="1:7" x14ac:dyDescent="0.25">
      <c r="A6" s="5" t="s">
        <v>2</v>
      </c>
      <c r="B6" s="28">
        <v>5.72</v>
      </c>
      <c r="C6" s="4" t="s">
        <v>35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3" t="s">
        <v>36</v>
      </c>
      <c r="C8" s="34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78.75" customHeight="1" thickBot="1" x14ac:dyDescent="0.3">
      <c r="A11" s="39" t="s">
        <v>41</v>
      </c>
      <c r="B11" s="40"/>
      <c r="C11" s="40"/>
      <c r="D11" s="40"/>
      <c r="E11" s="40"/>
      <c r="F11" s="40"/>
      <c r="G11" s="41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2" t="s">
        <v>17</v>
      </c>
      <c r="C14" s="42"/>
      <c r="D14" s="42"/>
      <c r="E14" s="42"/>
      <c r="F14" s="10" t="s">
        <v>8</v>
      </c>
      <c r="G14" s="11" t="s">
        <v>1</v>
      </c>
    </row>
    <row r="15" spans="1:7" x14ac:dyDescent="0.25">
      <c r="A15" s="12" t="s">
        <v>18</v>
      </c>
      <c r="B15" s="45" t="s">
        <v>22</v>
      </c>
      <c r="C15" s="45"/>
      <c r="D15" s="45"/>
      <c r="E15" s="45"/>
      <c r="F15" s="29">
        <f>B6*0.989</f>
        <v>5.6570799999999997</v>
      </c>
      <c r="G15" s="13" t="s">
        <v>37</v>
      </c>
    </row>
    <row r="16" spans="1:7" ht="45" customHeight="1" x14ac:dyDescent="0.25">
      <c r="A16" s="20" t="s">
        <v>9</v>
      </c>
      <c r="B16" s="43" t="s">
        <v>26</v>
      </c>
      <c r="C16" s="43"/>
      <c r="D16" s="43"/>
      <c r="E16" s="43"/>
      <c r="F16" s="25">
        <f>B6*100</f>
        <v>572</v>
      </c>
      <c r="G16" s="21" t="s">
        <v>19</v>
      </c>
    </row>
    <row r="17" spans="1:7" ht="45" customHeight="1" x14ac:dyDescent="0.25">
      <c r="A17" s="26" t="s">
        <v>25</v>
      </c>
      <c r="B17" s="43" t="s">
        <v>20</v>
      </c>
      <c r="C17" s="43"/>
      <c r="D17" s="43"/>
      <c r="E17" s="43"/>
      <c r="F17" s="30">
        <f>B6*0.2*1000/1000</f>
        <v>1.1439999999999999</v>
      </c>
      <c r="G17" s="21" t="s">
        <v>38</v>
      </c>
    </row>
    <row r="18" spans="1:7" ht="46.5" customHeight="1" x14ac:dyDescent="0.25">
      <c r="A18" s="23" t="s">
        <v>21</v>
      </c>
      <c r="B18" s="44" t="s">
        <v>24</v>
      </c>
      <c r="C18" s="44"/>
      <c r="D18" s="44"/>
      <c r="E18" s="44"/>
      <c r="F18" s="31">
        <f>B6*0.2</f>
        <v>1.1439999999999999</v>
      </c>
      <c r="G18" s="24" t="s">
        <v>39</v>
      </c>
    </row>
    <row r="19" spans="1:7" ht="30.75" customHeight="1" x14ac:dyDescent="0.25">
      <c r="A19" s="27" t="s">
        <v>27</v>
      </c>
      <c r="B19" s="44" t="s">
        <v>23</v>
      </c>
      <c r="C19" s="44"/>
      <c r="D19" s="44"/>
      <c r="E19" s="44"/>
      <c r="F19" s="31">
        <f>-B6*0.2</f>
        <v>-1.1439999999999999</v>
      </c>
      <c r="G19" s="24" t="s">
        <v>39</v>
      </c>
    </row>
    <row r="20" spans="1:7" ht="30.75" customHeight="1" thickBot="1" x14ac:dyDescent="0.3">
      <c r="A20" s="8" t="s">
        <v>28</v>
      </c>
      <c r="B20" s="46" t="s">
        <v>29</v>
      </c>
      <c r="C20" s="46"/>
      <c r="D20" s="46"/>
      <c r="E20" s="46"/>
      <c r="F20" s="32">
        <f>-B6*0.8</f>
        <v>-4.5759999999999996</v>
      </c>
      <c r="G20" s="14" t="s">
        <v>39</v>
      </c>
    </row>
    <row r="21" spans="1:7" x14ac:dyDescent="0.25">
      <c r="A21" s="4"/>
      <c r="B21" s="4"/>
      <c r="C21" s="4"/>
      <c r="D21" s="4"/>
      <c r="E21" s="4"/>
      <c r="F21" s="4"/>
      <c r="G21" s="4"/>
    </row>
    <row r="22" spans="1:7" ht="15.75" thickBot="1" x14ac:dyDescent="0.3">
      <c r="A22" s="5" t="s">
        <v>10</v>
      </c>
      <c r="B22" s="4"/>
      <c r="C22" s="4"/>
      <c r="D22" s="4"/>
      <c r="E22" s="4"/>
      <c r="F22" s="4"/>
      <c r="G22" s="4"/>
    </row>
    <row r="23" spans="1:7" ht="47.25" thickBot="1" x14ac:dyDescent="0.4">
      <c r="A23" s="9" t="s">
        <v>3</v>
      </c>
      <c r="B23" s="15" t="s">
        <v>15</v>
      </c>
      <c r="C23" s="15" t="s">
        <v>12</v>
      </c>
      <c r="D23" s="35" t="s">
        <v>13</v>
      </c>
      <c r="E23" s="35"/>
      <c r="F23" s="35" t="s">
        <v>14</v>
      </c>
      <c r="G23" s="36"/>
    </row>
    <row r="24" spans="1:7" x14ac:dyDescent="0.25">
      <c r="A24" s="12" t="s">
        <v>18</v>
      </c>
      <c r="B24" s="17">
        <v>2.7999999999999998E-4</v>
      </c>
      <c r="C24" s="17">
        <v>6.3399999999999996E-5</v>
      </c>
      <c r="D24" s="37">
        <v>2.4399999999999999E-6</v>
      </c>
      <c r="E24" s="37"/>
      <c r="F24" s="37">
        <v>6.9200000000000002E-5</v>
      </c>
      <c r="G24" s="49"/>
    </row>
    <row r="25" spans="1:7" x14ac:dyDescent="0.25">
      <c r="A25" s="20" t="s">
        <v>9</v>
      </c>
      <c r="B25" s="16">
        <v>0.109</v>
      </c>
      <c r="C25" s="16">
        <v>4.8599999999999997E-3</v>
      </c>
      <c r="D25" s="38">
        <v>2.8800000000000001E-4</v>
      </c>
      <c r="E25" s="38"/>
      <c r="F25" s="38">
        <v>3.4500000000000003E-2</v>
      </c>
      <c r="G25" s="50"/>
    </row>
    <row r="26" spans="1:7" ht="30" x14ac:dyDescent="0.25">
      <c r="A26" s="26" t="s">
        <v>25</v>
      </c>
      <c r="B26" s="16">
        <v>0.11899999999999999</v>
      </c>
      <c r="C26" s="16">
        <v>9.1199999999999996E-3</v>
      </c>
      <c r="D26" s="38">
        <v>3.01E-4</v>
      </c>
      <c r="E26" s="38"/>
      <c r="F26" s="38">
        <v>4.02E-2</v>
      </c>
      <c r="G26" s="50"/>
    </row>
    <row r="27" spans="1:7" x14ac:dyDescent="0.25">
      <c r="A27" s="20" t="s">
        <v>21</v>
      </c>
      <c r="B27" s="16">
        <v>0.28299999999999997</v>
      </c>
      <c r="C27" s="16">
        <v>2.0799999999999998E-3</v>
      </c>
      <c r="D27" s="38">
        <v>3.2000000000000003E-4</v>
      </c>
      <c r="E27" s="38"/>
      <c r="F27" s="38">
        <v>4.82E-2</v>
      </c>
      <c r="G27" s="50"/>
    </row>
    <row r="28" spans="1:7" ht="30" x14ac:dyDescent="0.25">
      <c r="A28" s="27" t="s">
        <v>27</v>
      </c>
      <c r="B28" s="16">
        <v>-2.15</v>
      </c>
      <c r="C28" s="16">
        <v>-4.5199999999999997E-2</v>
      </c>
      <c r="D28" s="38">
        <v>-7.4200000000000002E-2</v>
      </c>
      <c r="E28" s="38"/>
      <c r="F28" s="38">
        <v>-0.48199999999999998</v>
      </c>
      <c r="G28" s="50"/>
    </row>
    <row r="29" spans="1:7" ht="15.75" thickBot="1" x14ac:dyDescent="0.3">
      <c r="A29" s="8" t="s">
        <v>28</v>
      </c>
      <c r="B29" s="18">
        <v>-10.6</v>
      </c>
      <c r="C29" s="18">
        <v>-0.27800000000000002</v>
      </c>
      <c r="D29" s="47">
        <v>-0.503</v>
      </c>
      <c r="E29" s="47"/>
      <c r="F29" s="47">
        <v>-2.5299999999999998</v>
      </c>
      <c r="G29" s="51"/>
    </row>
    <row r="30" spans="1:7" ht="15.75" thickBot="1" x14ac:dyDescent="0.3">
      <c r="A30" s="9" t="s">
        <v>16</v>
      </c>
      <c r="B30" s="19">
        <v>-12.2</v>
      </c>
      <c r="C30" s="19">
        <v>-0.307</v>
      </c>
      <c r="D30" s="48">
        <v>-0.57599999999999996</v>
      </c>
      <c r="E30" s="48"/>
      <c r="F30" s="48">
        <v>-2.89</v>
      </c>
      <c r="G30" s="52"/>
    </row>
    <row r="31" spans="1:7" s="1" customFormat="1" ht="15.75" thickBot="1" x14ac:dyDescent="0.3">
      <c r="A31" s="2" t="s">
        <v>32</v>
      </c>
      <c r="B31" s="2"/>
      <c r="C31" s="22" t="s">
        <v>30</v>
      </c>
      <c r="D31" s="2"/>
      <c r="E31" s="2"/>
      <c r="F31" s="2"/>
      <c r="G31" s="3">
        <v>46191</v>
      </c>
    </row>
    <row r="32" spans="1:7" x14ac:dyDescent="0.25">
      <c r="A32" s="4"/>
      <c r="B32" s="4"/>
      <c r="C32" s="4"/>
      <c r="D32" s="4"/>
      <c r="E32" s="4"/>
      <c r="F32" s="4"/>
      <c r="G32" s="4"/>
    </row>
    <row r="33" spans="1:7" ht="15.75" thickBot="1" x14ac:dyDescent="0.3">
      <c r="A33" s="5" t="s">
        <v>11</v>
      </c>
      <c r="B33" s="4"/>
      <c r="C33" s="4"/>
      <c r="D33" s="4"/>
      <c r="E33" s="4"/>
      <c r="F33" s="4"/>
      <c r="G33" s="4"/>
    </row>
    <row r="34" spans="1:7" ht="114.75" customHeight="1" thickBot="1" x14ac:dyDescent="0.3">
      <c r="A34" s="39" t="s">
        <v>40</v>
      </c>
      <c r="B34" s="40"/>
      <c r="C34" s="40"/>
      <c r="D34" s="40"/>
      <c r="E34" s="40"/>
      <c r="F34" s="40"/>
      <c r="G34" s="41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  <row r="70" spans="1:7" x14ac:dyDescent="0.25">
      <c r="A70" s="4"/>
      <c r="B70" s="4"/>
      <c r="C70" s="4"/>
      <c r="D70" s="4"/>
      <c r="E70" s="4"/>
      <c r="F70" s="4"/>
      <c r="G70" s="4"/>
    </row>
    <row r="71" spans="1:7" x14ac:dyDescent="0.25">
      <c r="A71" s="4"/>
      <c r="B71" s="4"/>
      <c r="C71" s="4"/>
      <c r="D71" s="4"/>
      <c r="E71" s="4"/>
      <c r="F71" s="4"/>
      <c r="G71" s="4"/>
    </row>
  </sheetData>
  <mergeCells count="26">
    <mergeCell ref="A34:G34"/>
    <mergeCell ref="D29:E29"/>
    <mergeCell ref="D30:E30"/>
    <mergeCell ref="F24:G24"/>
    <mergeCell ref="F25:G25"/>
    <mergeCell ref="F29:G29"/>
    <mergeCell ref="F30:G30"/>
    <mergeCell ref="D27:E27"/>
    <mergeCell ref="F27:G27"/>
    <mergeCell ref="D26:E26"/>
    <mergeCell ref="F26:G26"/>
    <mergeCell ref="D28:E28"/>
    <mergeCell ref="F28:G28"/>
    <mergeCell ref="B8:C8"/>
    <mergeCell ref="D23:E23"/>
    <mergeCell ref="F23:G23"/>
    <mergeCell ref="D24:E24"/>
    <mergeCell ref="D25:E25"/>
    <mergeCell ref="A11:G11"/>
    <mergeCell ref="B14:E14"/>
    <mergeCell ref="B17:E17"/>
    <mergeCell ref="B19:E19"/>
    <mergeCell ref="B15:E15"/>
    <mergeCell ref="B18:E18"/>
    <mergeCell ref="B16:E16"/>
    <mergeCell ref="B20:E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SSH_RU_01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2026-06-21T20:28:28Z</dcterms:modified>
</cp:coreProperties>
</file>