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CBFACC4-0AE0-4EC9-8A4C-48673B6C2B9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T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 l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<sst xmlns="http://schemas.openxmlformats.org/spreadsheetml/2006/main" count="38" uniqueCount="33">
  <si>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</si>
  <si>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</si>
  <si>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</si>
  <si>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</si>
  <si>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</si>
  <si>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</si>
  <si>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</si>
  <si>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</si>
  <si>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</si>
  <si>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</si>
  <si>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</si>
  <si>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</si>
  <si>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</si>
  <si>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</si>
  <si>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</si>
  <si>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</si>
  <si>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</si>
  <si>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</si>
  <si>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</si>
  <si>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</si>
  <si>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</si>
  <si>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</si>
  <si>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Page 1 of 1</t>
  </si>
  <si>
    <t>tkm</t>
  </si>
  <si>
    <t>Recycling (Road Fill)</t>
  </si>
  <si>
    <t>Crushing</t>
  </si>
  <si>
    <t>Rock crushing {RER}| rock crushing | Cut-off, S</t>
  </si>
  <si>
    <t>Avoided gravel</t>
  </si>
  <si>
    <t>Gravel, crushed {RoW}| market for gravel, crushed | Cut-off, S</t>
  </si>
  <si>
    <t>RT_RC_01 - Life Cycle Inventory</t>
  </si>
  <si>
    <t>Roof Tiles</t>
  </si>
  <si>
    <t>1 m² of roof tiles is extracted from the building by hand. The roof tiles are transported 100 km by truck to a facility in Denmark where it is crushed into rubble, which replaces gravel in road fill.</t>
  </si>
  <si>
    <t>Mass factor determined from BR18, appendix 2, table 7 ID #D1497.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</si>
</sst>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0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1" zoomScaleNormal="100" workbookViewId="0">
      <selection activeCell="F16" sqref="F1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19" t="s">
        <v>22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39">
        <v>52.5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1" t="s">
        <v>24</v>
      </c>
      <c r="C8" s="3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2" t="s">
        <v>31</v>
      </c>
      <c r="B11" s="23"/>
      <c r="C11" s="23"/>
      <c r="D11" s="23"/>
      <c r="E11" s="23"/>
      <c r="F11" s="23"/>
      <c r="G11" s="2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5" t="s">
        <v>19</v>
      </c>
      <c r="C14" s="35"/>
      <c r="D14" s="35"/>
      <c r="E14" s="35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36" t="s">
        <v>18</v>
      </c>
      <c r="C15" s="36"/>
      <c r="D15" s="36"/>
      <c r="E15" s="36"/>
      <c r="F15" s="40">
        <f>B6*100/1000</f>
        <v>5.25</v>
      </c>
      <c r="G15" s="18" t="s">
        <v>23</v>
      </c>
    </row>
    <row r="16" spans="1:7" x14ac:dyDescent="0.25">
      <c r="A16" s="20" t="s">
        <v>25</v>
      </c>
      <c r="B16" s="38" t="s">
        <v>26</v>
      </c>
      <c r="C16" s="38"/>
      <c r="D16" s="38"/>
      <c r="E16" s="38"/>
      <c r="F16" s="41">
        <f>B6</f>
        <v>52.5</v>
      </c>
      <c r="G16" s="21" t="s">
        <v>10</v>
      </c>
    </row>
    <row r="17" spans="1:7" ht="32.25" customHeight="1" thickBot="1" x14ac:dyDescent="0.3">
      <c r="A17" s="8" t="s">
        <v>27</v>
      </c>
      <c r="B17" s="37" t="s">
        <v>28</v>
      </c>
      <c r="C17" s="37"/>
      <c r="D17" s="37"/>
      <c r="E17" s="37"/>
      <c r="F17" s="42">
        <f>-B6</f>
        <v>-52.5</v>
      </c>
      <c r="G17" s="12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3" t="s">
        <v>16</v>
      </c>
      <c r="C20" s="13" t="s">
        <v>13</v>
      </c>
      <c r="D20" s="33" t="s">
        <v>14</v>
      </c>
      <c r="E20" s="33"/>
      <c r="F20" s="33" t="s">
        <v>15</v>
      </c>
      <c r="G20" s="34"/>
    </row>
    <row r="21" spans="1:7" x14ac:dyDescent="0.25">
      <c r="A21" s="17" t="s">
        <v>9</v>
      </c>
      <c r="B21" s="14">
        <v>1</v>
      </c>
      <c r="C21" s="14">
        <v>4.4600000000000001E-2</v>
      </c>
      <c r="D21" s="27">
        <v>2.65E-3</v>
      </c>
      <c r="E21" s="27"/>
      <c r="F21" s="27">
        <v>0.316</v>
      </c>
      <c r="G21" s="28"/>
    </row>
    <row r="22" spans="1:7" x14ac:dyDescent="0.25">
      <c r="A22" s="20" t="s">
        <v>25</v>
      </c>
      <c r="B22" s="14">
        <v>1.41E-2</v>
      </c>
      <c r="C22" s="14">
        <v>4.26E-4</v>
      </c>
      <c r="D22" s="27">
        <v>4.49E-5</v>
      </c>
      <c r="E22" s="27"/>
      <c r="F22" s="27">
        <v>3.8700000000000002E-3</v>
      </c>
      <c r="G22" s="28"/>
    </row>
    <row r="23" spans="1:7" ht="15.75" thickBot="1" x14ac:dyDescent="0.3">
      <c r="A23" s="8" t="s">
        <v>27</v>
      </c>
      <c r="B23" s="15">
        <v>-0.97899999999999998</v>
      </c>
      <c r="C23" s="15">
        <v>-0.11899999999999999</v>
      </c>
      <c r="D23" s="25">
        <v>-4.4400000000000004E-3</v>
      </c>
      <c r="E23" s="25"/>
      <c r="F23" s="25">
        <v>-0.27400000000000002</v>
      </c>
      <c r="G23" s="29"/>
    </row>
    <row r="24" spans="1:7" ht="15.75" thickBot="1" x14ac:dyDescent="0.3">
      <c r="A24" s="9" t="s">
        <v>17</v>
      </c>
      <c r="B24" s="16">
        <v>3.8399999999999997E-2</v>
      </c>
      <c r="C24" s="16">
        <v>-7.4300000000000005E-2</v>
      </c>
      <c r="D24" s="26">
        <v>-1.75E-3</v>
      </c>
      <c r="E24" s="26"/>
      <c r="F24" s="26">
        <v>4.6699999999999998E-2</v>
      </c>
      <c r="G24" s="30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38.75" customHeight="1" thickBot="1" x14ac:dyDescent="0.3">
      <c r="A27" s="22" t="s">
        <v>32</v>
      </c>
      <c r="B27" s="23"/>
      <c r="C27" s="23"/>
      <c r="D27" s="23"/>
      <c r="E27" s="23"/>
      <c r="F27" s="23"/>
      <c r="G27" s="24"/>
    </row>
  </sheetData>
  <mergeCells count="17">
    <mergeCell ref="B8:C8"/>
    <mergeCell ref="D20:E20"/>
    <mergeCell ref="F20:G20"/>
    <mergeCell ref="D21:E21"/>
    <mergeCell ref="A11:G11"/>
    <mergeCell ref="B14:E14"/>
    <mergeCell ref="B15:E15"/>
    <mergeCell ref="B17:E17"/>
    <mergeCell ref="B16:E16"/>
    <mergeCell ref="A27:G27"/>
    <mergeCell ref="D23:E23"/>
    <mergeCell ref="D24:E24"/>
    <mergeCell ref="F21:G21"/>
    <mergeCell ref="F23:G23"/>
    <mergeCell ref="F24:G24"/>
    <mergeCell ref="D22:E22"/>
    <mergeCell ref="F22:G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RT_RC_01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2026-06-18T12:05:17Z</dcterms:modified>
</cp:coreProperties>
</file>