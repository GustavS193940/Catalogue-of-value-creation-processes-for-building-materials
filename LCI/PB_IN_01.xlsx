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2159566F-37CC-4CA4-8033-AF4A82889AEF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PB_IN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9" i="1" l="1"/>
  <c r="F18" i="1"/>
  <c r="F15" i="1"/>
  <c r="F16" i="1"/>
  <c r="F17" i="1"/>
</calcChain>
</file>

<file path=xl/sharedStrings.xml><?xml version="1.0" encoding="utf-8"?>
<sst xmlns="http://schemas.openxmlformats.org/spreadsheetml/2006/main" count="48" uniqueCount="38">
  <si>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</si>
  <si>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</si>
  <si>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</si>
  <si>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</si>
  <si>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</si>
  <si>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</si>
  <si>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</si>
  <si>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</si>
  <si>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</si>
  <si>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</si>
  <si>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</si>
  <si>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</si>
  <si>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</si>
  <si>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</si>
  <si>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</si>
  <si>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</si>
  <si>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</si>
  <si>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</si>
  <si>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</si>
  <si>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</si>
  <si>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</si>
  <si>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Electricity, low voltage {DK}| market for | Cut-off, S</t>
  </si>
  <si>
    <t>Incineration</t>
  </si>
  <si>
    <t>Recovered electricity</t>
  </si>
  <si>
    <t>Recovered heat</t>
  </si>
  <si>
    <t>Heat, district or industrial, other than natural gas {Europe without Switzerland}| market for heat, district or industrial, other than natural gas | Cut-off, S</t>
  </si>
  <si>
    <t>MJ</t>
  </si>
  <si>
    <t>1 m³</t>
  </si>
  <si>
    <t>kg/m³</t>
  </si>
  <si>
    <t>Page 1 of 2</t>
  </si>
  <si>
    <t>tkm</t>
  </si>
  <si>
    <t>Diesel, burned in building machine {GLO}| market for diesel, burned in building machine | Cut-off, S</t>
  </si>
  <si>
    <t>Page 2 of 2</t>
  </si>
  <si>
    <t>Waste wood, untreated {GLO}| treatment of waste wood, untreated, municipal incineration | Cut-off, S</t>
  </si>
  <si>
    <t>PB_IN_01 - Life Cycle Inventory</t>
  </si>
  <si>
    <t>Mass factor determined from BR18, appendix 2, table 7 ID #G0701
Diesel density assumed to be 0.845 kg/L with an energy density of 42.7 MJ/kg.
[1] Miljøstyrelsen (2022): https://www2.mst.dk/Udgiv/publikationer/2022/02/978-87-7038-353-0.pdf
[2] MD-25106-EN: https://www.epddanmark.dk/media/0ejgjsju/md-25106-en.pdf</t>
  </si>
  <si>
    <t>Particle board</t>
  </si>
  <si>
    <t>1 m³ of particle board is extracted from the building diesel-driven machinery. Assumed diesel use of 1.4 L/t material based on a report from the Danish Environmental Protection Agency (2022) [1]. The particle board is transported 50 km by truck to a municipal incineration plant where it is incinerated for energy recovery. Energy recovery of 1.8 MJ/kg particle board from Danish industry EPD for particle board [2]. Assumption of 2/3 recovered energy being heat and the remaining 1/3 being electricity.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</si>
</sst>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164" fontId="0" fillId="3" borderId="8" xfId="0" applyNumberFormat="1" applyFill="1" applyBorder="1" applyAlignment="1">
      <alignment vertical="center"/>
    </xf>
    <xf numFmtId="1" fontId="0" fillId="3" borderId="15" xfId="0" applyNumberFormat="1" applyFill="1" applyBorder="1" applyAlignment="1">
      <alignment vertical="center"/>
    </xf>
    <xf numFmtId="164" fontId="0" fillId="3" borderId="15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1" xfId="0" applyNumberFormat="1" applyFill="1" applyBorder="1" applyAlignment="1">
      <alignment vertical="center"/>
    </xf>
    <xf numFmtId="0" fontId="0" fillId="3" borderId="17" xfId="0" applyFill="1" applyBorder="1"/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11" fontId="0" fillId="3" borderId="8" xfId="0" applyNumberFormat="1" applyFill="1" applyBorder="1" applyAlignment="1">
      <alignment horizontal="center"/>
    </xf>
    <xf numFmtId="0" fontId="0" fillId="3" borderId="12" xfId="0" applyFill="1" applyBorder="1" applyAlignment="1">
      <alignment wrapText="1"/>
    </xf>
    <xf numFmtId="0" fontId="0" fillId="3" borderId="15" xfId="0" applyFill="1" applyBorder="1" applyAlignment="1">
      <alignment wrapText="1"/>
    </xf>
    <xf numFmtId="0" fontId="0" fillId="3" borderId="2" xfId="0" applyFill="1" applyBorder="1"/>
    <xf numFmtId="0" fontId="0" fillId="3" borderId="3" xfId="0" applyFill="1" applyBorder="1"/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1" fillId="3" borderId="4" xfId="0" applyFont="1" applyFill="1" applyBorder="1"/>
    <xf numFmtId="0" fontId="0" fillId="3" borderId="8" xfId="0" applyFill="1" applyBorder="1" applyAlignment="1">
      <alignment wrapText="1"/>
    </xf>
    <xf numFmtId="0" fontId="0" fillId="0" borderId="2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72"/>
  <sheetViews>
    <sheetView tabSelected="1" view="pageLayout" topLeftCell="A28" zoomScaleNormal="100" workbookViewId="0">
      <selection activeCell="A33" sqref="A33:G33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34</v>
      </c>
      <c r="B1" s="2"/>
      <c r="C1" s="24" t="s">
        <v>29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26" t="s">
        <v>36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27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700</v>
      </c>
      <c r="C6" s="4" t="s">
        <v>28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2" t="s">
        <v>22</v>
      </c>
      <c r="C8" s="33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77.25" customHeight="1" thickBot="1" x14ac:dyDescent="0.3">
      <c r="A11" s="34" t="s">
        <v>37</v>
      </c>
      <c r="B11" s="35"/>
      <c r="C11" s="35"/>
      <c r="D11" s="35"/>
      <c r="E11" s="35"/>
      <c r="F11" s="35"/>
      <c r="G11" s="36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37" t="s">
        <v>19</v>
      </c>
      <c r="C14" s="37"/>
      <c r="D14" s="37"/>
      <c r="E14" s="37"/>
      <c r="F14" s="9" t="s">
        <v>8</v>
      </c>
      <c r="G14" s="10" t="s">
        <v>1</v>
      </c>
    </row>
    <row r="15" spans="1:7" ht="32.25" customHeight="1" x14ac:dyDescent="0.25">
      <c r="A15" s="11" t="s">
        <v>20</v>
      </c>
      <c r="B15" s="38" t="s">
        <v>31</v>
      </c>
      <c r="C15" s="38"/>
      <c r="D15" s="38"/>
      <c r="E15" s="38"/>
      <c r="F15" s="21">
        <f>B6*1.4/1000*0.845*42.7</f>
        <v>35.359869999999994</v>
      </c>
      <c r="G15" s="12" t="s">
        <v>26</v>
      </c>
    </row>
    <row r="16" spans="1:7" ht="45" customHeight="1" x14ac:dyDescent="0.25">
      <c r="A16" s="19" t="s">
        <v>9</v>
      </c>
      <c r="B16" s="31" t="s">
        <v>18</v>
      </c>
      <c r="C16" s="31"/>
      <c r="D16" s="31"/>
      <c r="E16" s="31"/>
      <c r="F16" s="23">
        <f>B6*50/1000</f>
        <v>35</v>
      </c>
      <c r="G16" s="20" t="s">
        <v>30</v>
      </c>
    </row>
    <row r="17" spans="1:7" ht="30.75" customHeight="1" x14ac:dyDescent="0.25">
      <c r="A17" s="19" t="s">
        <v>22</v>
      </c>
      <c r="B17" s="31" t="s">
        <v>33</v>
      </c>
      <c r="C17" s="31"/>
      <c r="D17" s="31"/>
      <c r="E17" s="31"/>
      <c r="F17" s="22">
        <f>B6</f>
        <v>700</v>
      </c>
      <c r="G17" s="20" t="s">
        <v>10</v>
      </c>
    </row>
    <row r="18" spans="1:7" ht="45.75" customHeight="1" x14ac:dyDescent="0.25">
      <c r="A18" s="19" t="s">
        <v>24</v>
      </c>
      <c r="B18" s="31" t="s">
        <v>25</v>
      </c>
      <c r="C18" s="31"/>
      <c r="D18" s="31"/>
      <c r="E18" s="31"/>
      <c r="F18" s="22">
        <f>-1.8*(0.666666666666667)*B6</f>
        <v>-840</v>
      </c>
      <c r="G18" s="20" t="s">
        <v>26</v>
      </c>
    </row>
    <row r="19" spans="1:7" ht="15.75" customHeight="1" thickBot="1" x14ac:dyDescent="0.3">
      <c r="A19" s="7" t="s">
        <v>23</v>
      </c>
      <c r="B19" s="30" t="s">
        <v>21</v>
      </c>
      <c r="C19" s="30"/>
      <c r="D19" s="30"/>
      <c r="E19" s="30"/>
      <c r="F19" s="25">
        <f>-1.8*(0.333333333333333)*B6</f>
        <v>-420</v>
      </c>
      <c r="G19" s="13" t="s">
        <v>26</v>
      </c>
    </row>
    <row r="20" spans="1:7" x14ac:dyDescent="0.25">
      <c r="A20" s="4"/>
      <c r="B20" s="4"/>
      <c r="C20" s="4"/>
      <c r="D20" s="4"/>
      <c r="E20" s="4"/>
      <c r="F20" s="4"/>
      <c r="G20" s="4"/>
    </row>
    <row r="21" spans="1:7" ht="15.75" thickBot="1" x14ac:dyDescent="0.3">
      <c r="A21" s="5" t="s">
        <v>11</v>
      </c>
      <c r="B21" s="4"/>
      <c r="C21" s="4"/>
      <c r="D21" s="4"/>
      <c r="E21" s="4"/>
      <c r="F21" s="4"/>
      <c r="G21" s="4"/>
    </row>
    <row r="22" spans="1:7" ht="47.25" thickBot="1" x14ac:dyDescent="0.4">
      <c r="A22" s="8" t="s">
        <v>3</v>
      </c>
      <c r="B22" s="14" t="s">
        <v>16</v>
      </c>
      <c r="C22" s="14" t="s">
        <v>13</v>
      </c>
      <c r="D22" s="27" t="s">
        <v>14</v>
      </c>
      <c r="E22" s="27"/>
      <c r="F22" s="27" t="s">
        <v>15</v>
      </c>
      <c r="G22" s="28"/>
    </row>
    <row r="23" spans="1:7" x14ac:dyDescent="0.25">
      <c r="A23" s="11" t="s">
        <v>20</v>
      </c>
      <c r="B23" s="16">
        <v>3.63</v>
      </c>
      <c r="C23" s="16">
        <v>2.5499999999999998E-2</v>
      </c>
      <c r="D23" s="29">
        <v>5.8500000000000002E-3</v>
      </c>
      <c r="E23" s="29"/>
      <c r="F23" s="29">
        <v>1.07</v>
      </c>
      <c r="G23" s="44"/>
    </row>
    <row r="24" spans="1:7" x14ac:dyDescent="0.25">
      <c r="A24" s="19" t="s">
        <v>9</v>
      </c>
      <c r="B24" s="15">
        <v>6.69</v>
      </c>
      <c r="C24" s="15">
        <v>0.29799999999999999</v>
      </c>
      <c r="D24" s="45">
        <v>1.7600000000000001E-2</v>
      </c>
      <c r="E24" s="45"/>
      <c r="F24" s="45">
        <v>2.11</v>
      </c>
      <c r="G24" s="46"/>
    </row>
    <row r="25" spans="1:7" x14ac:dyDescent="0.25">
      <c r="A25" s="19" t="s">
        <v>22</v>
      </c>
      <c r="B25" s="15">
        <v>11</v>
      </c>
      <c r="C25" s="15">
        <v>0.18099999999999999</v>
      </c>
      <c r="D25" s="45">
        <v>9.3100000000000002E-2</v>
      </c>
      <c r="E25" s="45"/>
      <c r="F25" s="45">
        <v>2.25</v>
      </c>
      <c r="G25" s="46"/>
    </row>
    <row r="26" spans="1:7" x14ac:dyDescent="0.25">
      <c r="A26" s="19" t="s">
        <v>24</v>
      </c>
      <c r="B26" s="15">
        <v>-61.3</v>
      </c>
      <c r="C26" s="15">
        <v>-3.58</v>
      </c>
      <c r="D26" s="45">
        <v>-1.9900000000000001E-2</v>
      </c>
      <c r="E26" s="45"/>
      <c r="F26" s="45">
        <v>-13.3</v>
      </c>
      <c r="G26" s="46"/>
    </row>
    <row r="27" spans="1:7" ht="15.75" thickBot="1" x14ac:dyDescent="0.3">
      <c r="A27" s="7" t="s">
        <v>23</v>
      </c>
      <c r="B27" s="17">
        <v>-20.8</v>
      </c>
      <c r="C27" s="17">
        <v>-4.71</v>
      </c>
      <c r="D27" s="42">
        <v>-0.18099999999999999</v>
      </c>
      <c r="E27" s="42"/>
      <c r="F27" s="42">
        <v>-5.14</v>
      </c>
      <c r="G27" s="47"/>
    </row>
    <row r="28" spans="1:7" ht="15.75" thickBot="1" x14ac:dyDescent="0.3">
      <c r="A28" s="8" t="s">
        <v>17</v>
      </c>
      <c r="B28" s="18">
        <v>-60.7</v>
      </c>
      <c r="C28" s="18">
        <v>-7.79</v>
      </c>
      <c r="D28" s="43">
        <v>-8.43E-2</v>
      </c>
      <c r="E28" s="43"/>
      <c r="F28" s="43">
        <v>-13</v>
      </c>
      <c r="G28" s="48"/>
    </row>
    <row r="29" spans="1:7" ht="90" customHeight="1" x14ac:dyDescent="0.25">
      <c r="A29" s="4"/>
      <c r="B29" s="4"/>
      <c r="C29" s="4"/>
      <c r="D29" s="4"/>
      <c r="E29" s="4"/>
      <c r="F29" s="4"/>
      <c r="G29" s="4"/>
    </row>
    <row r="30" spans="1:7" s="1" customFormat="1" ht="15.75" thickBot="1" x14ac:dyDescent="0.3">
      <c r="A30" s="2" t="s">
        <v>34</v>
      </c>
      <c r="B30" s="2"/>
      <c r="C30" s="24" t="s">
        <v>32</v>
      </c>
      <c r="D30" s="2"/>
      <c r="E30" s="2"/>
      <c r="F30" s="2"/>
      <c r="G30" s="3">
        <v>46191</v>
      </c>
    </row>
    <row r="31" spans="1:7" x14ac:dyDescent="0.25">
      <c r="A31" s="4"/>
      <c r="B31" s="4"/>
      <c r="C31" s="4"/>
      <c r="D31" s="4"/>
      <c r="E31" s="4"/>
      <c r="F31" s="4"/>
      <c r="G31" s="4"/>
    </row>
    <row r="32" spans="1:7" ht="15.75" thickBot="1" x14ac:dyDescent="0.3">
      <c r="A32" s="5" t="s">
        <v>12</v>
      </c>
      <c r="B32" s="4"/>
      <c r="C32" s="4"/>
      <c r="D32" s="4"/>
      <c r="E32" s="4"/>
      <c r="F32" s="4"/>
      <c r="G32" s="4"/>
    </row>
    <row r="33" spans="1:7" ht="79.5" customHeight="1" thickBot="1" x14ac:dyDescent="0.3">
      <c r="A33" s="39" t="s">
        <v>35</v>
      </c>
      <c r="B33" s="40"/>
      <c r="C33" s="40"/>
      <c r="D33" s="40"/>
      <c r="E33" s="40"/>
      <c r="F33" s="40"/>
      <c r="G33" s="41"/>
    </row>
    <row r="34" spans="1:7" x14ac:dyDescent="0.25">
      <c r="A34" s="4"/>
      <c r="B34" s="4"/>
      <c r="C34" s="4"/>
      <c r="D34" s="4"/>
      <c r="E34" s="4"/>
      <c r="F34" s="4"/>
      <c r="G34" s="4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  <row r="63" spans="1:7" x14ac:dyDescent="0.25">
      <c r="A63" s="4"/>
      <c r="B63" s="4"/>
      <c r="C63" s="4"/>
      <c r="D63" s="4"/>
      <c r="E63" s="4"/>
      <c r="F63" s="4"/>
      <c r="G63" s="4"/>
    </row>
    <row r="64" spans="1:7" x14ac:dyDescent="0.25">
      <c r="A64" s="4"/>
      <c r="B64" s="4"/>
      <c r="C64" s="4"/>
      <c r="D64" s="4"/>
      <c r="E64" s="4"/>
      <c r="F64" s="4"/>
      <c r="G64" s="4"/>
    </row>
    <row r="65" spans="1:7" x14ac:dyDescent="0.25">
      <c r="A65" s="4"/>
      <c r="B65" s="4"/>
      <c r="C65" s="4"/>
      <c r="D65" s="4"/>
      <c r="E65" s="4"/>
      <c r="F65" s="4"/>
      <c r="G65" s="4"/>
    </row>
    <row r="66" spans="1:7" x14ac:dyDescent="0.25">
      <c r="A66" s="4"/>
      <c r="B66" s="4"/>
      <c r="C66" s="4"/>
      <c r="D66" s="4"/>
      <c r="E66" s="4"/>
      <c r="F66" s="4"/>
      <c r="G66" s="4"/>
    </row>
    <row r="67" spans="1:7" x14ac:dyDescent="0.25">
      <c r="A67" s="4"/>
      <c r="B67" s="4"/>
      <c r="C67" s="4"/>
      <c r="D67" s="4"/>
      <c r="E67" s="4"/>
      <c r="F67" s="4"/>
      <c r="G67" s="4"/>
    </row>
    <row r="68" spans="1:7" x14ac:dyDescent="0.25">
      <c r="A68" s="4"/>
      <c r="B68" s="4"/>
      <c r="C68" s="4"/>
      <c r="D68" s="4"/>
      <c r="E68" s="4"/>
      <c r="F68" s="4"/>
      <c r="G68" s="4"/>
    </row>
    <row r="69" spans="1:7" x14ac:dyDescent="0.25">
      <c r="A69" s="4"/>
      <c r="B69" s="4"/>
      <c r="C69" s="4"/>
      <c r="D69" s="4"/>
      <c r="E69" s="4"/>
      <c r="F69" s="4"/>
      <c r="G69" s="4"/>
    </row>
    <row r="70" spans="1:7" x14ac:dyDescent="0.25">
      <c r="A70" s="4"/>
      <c r="B70" s="4"/>
      <c r="C70" s="4"/>
      <c r="D70" s="4"/>
      <c r="E70" s="4"/>
      <c r="F70" s="4"/>
      <c r="G70" s="4"/>
    </row>
    <row r="71" spans="1:7" x14ac:dyDescent="0.25">
      <c r="A71" s="4"/>
      <c r="B71" s="4"/>
      <c r="C71" s="4"/>
      <c r="D71" s="4"/>
      <c r="E71" s="4"/>
      <c r="F71" s="4"/>
      <c r="G71" s="4"/>
    </row>
    <row r="72" spans="1:7" x14ac:dyDescent="0.25">
      <c r="A72" s="4"/>
      <c r="B72" s="4"/>
      <c r="C72" s="4"/>
      <c r="D72" s="4"/>
      <c r="E72" s="4"/>
      <c r="F72" s="4"/>
      <c r="G72" s="4"/>
    </row>
  </sheetData>
  <mergeCells count="23">
    <mergeCell ref="A33:G33"/>
    <mergeCell ref="D27:E27"/>
    <mergeCell ref="D28:E28"/>
    <mergeCell ref="F23:G23"/>
    <mergeCell ref="F24:G24"/>
    <mergeCell ref="F27:G27"/>
    <mergeCell ref="F28:G28"/>
    <mergeCell ref="D25:E25"/>
    <mergeCell ref="F25:G25"/>
    <mergeCell ref="D26:E26"/>
    <mergeCell ref="F26:G26"/>
    <mergeCell ref="D24:E24"/>
    <mergeCell ref="F22:G22"/>
    <mergeCell ref="D23:E23"/>
    <mergeCell ref="B19:E19"/>
    <mergeCell ref="B18:E18"/>
    <mergeCell ref="B8:C8"/>
    <mergeCell ref="D22:E22"/>
    <mergeCell ref="A11:G11"/>
    <mergeCell ref="B14:E14"/>
    <mergeCell ref="B16:E16"/>
    <mergeCell ref="B17:E17"/>
    <mergeCell ref="B15:E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PB_IN_01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2026-06-18T14:37:46Z</dcterms:modified>
</cp:coreProperties>
</file>