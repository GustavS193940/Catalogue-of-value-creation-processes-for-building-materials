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991F7502-EBA4-46EB-962B-B960E7221DD1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CLT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1" l="1"/>
  <c r="F20" i="1"/>
  <c r="F19" i="1"/>
  <c r="F18" i="1"/>
  <c r="F17" i="1"/>
  <c r="F16" i="1" l="1"/>
  <c r="F15" i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<sst xmlns="http://schemas.openxmlformats.org/spreadsheetml/2006/main" count="56" uniqueCount="43">
  <si>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</si>
  <si>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</si>
  <si>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</si>
  <si>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</si>
  <si>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</si>
  <si>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</si>
  <si>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</si>
  <si>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</si>
  <si>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</si>
  <si>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</si>
  <si>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</si>
  <si>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</si>
  <si>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</si>
  <si>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</si>
  <si>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</si>
  <si>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</si>
  <si>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</si>
  <si>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</si>
  <si>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</si>
  <si>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</si>
  <si>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</si>
  <si>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</si>
  <si>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</si>
  <si>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</si>
  <si>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</si>
  <si>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</si>
  <si>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</si>
  <si>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</si>
  <si>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</si>
  <si>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</si>
  <si>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</si>
  <si>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</si>
  <si>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</si>
  <si>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Avoided wood</t>
  </si>
  <si>
    <t>Incineration of residual</t>
  </si>
  <si>
    <t>m³</t>
  </si>
  <si>
    <t>Reuse</t>
  </si>
  <si>
    <t>Transportation of residual</t>
  </si>
  <si>
    <t>CLT_RU_01 - Life Cycle Inventory</t>
  </si>
  <si>
    <t>Cross Laminated Timber (CLT)</t>
  </si>
  <si>
    <t>1 m³ of CLT is extracted from the building diesel-driven machinery. Assumed diesel use of 1.4 L/t material based on a report from the Danish Environmental Protection Agency (2022) [1]. The CLT is transported 100 km by truck to a facility in Denmark where it is reused. Assumed 80% of CLT is reusable based on an LCA report from the GENTRÆ project (2020) [2]. The remaining 20% is transported another 50 km by truck to a municipal incineration plant where it is incinerated for energy recovery. Heat recovery of 1460 MJ/m³ CLT and electricity recovery of 724 MJ/m³ CLT from Danish industry EPD for CLT [3].</t>
  </si>
  <si>
    <t>Mass factor determined from Danish industry EPD for CLT MD-25107-EN [2]
Diesel density assumed to be 0.845 kg/L with an energy density of 42.7 MJ/kg.
EcoInvent process for avoided wood assumes density of 443 kg/m³, so volume has been scaled up to match the weight of the reused wood.
[1] Miljøstyrelsen (2022): https://www2.mst.dk/Udgiv/publikationer/2022/02/978-87-7038-353-0.pdf
[2] GENTRÆ LCA Report (2020): https://tilbudprof.stark.dk/gentrae/lga-golder-associates/?page=1
[3] MD-25107-EN: https://www.epddanmark.dk/media/kn5kwbzj/md-25107-en.pdf</t>
  </si>
  <si>
    <t>Cross-laminated timber {RER}| market for cross-laminated timber | Cut-off,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</si>
</sst>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2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164" fontId="0" fillId="3" borderId="8" xfId="0" applyNumberFormat="1" applyFill="1" applyBorder="1" applyAlignment="1">
      <alignment vertical="center"/>
    </xf>
    <xf numFmtId="1" fontId="0" fillId="3" borderId="13" xfId="0" applyNumberFormat="1" applyFill="1" applyBorder="1" applyAlignment="1">
      <alignment vertical="center"/>
    </xf>
    <xf numFmtId="164" fontId="0" fillId="3" borderId="13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2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2" fontId="0" fillId="3" borderId="13" xfId="0" applyNumberFormat="1" applyFill="1" applyBorder="1" applyAlignment="1">
      <alignment vertical="center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1" fontId="0" fillId="3" borderId="10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3" borderId="4" xfId="0" applyFont="1" applyFill="1" applyBorder="1"/>
    <xf numFmtId="0" fontId="0" fillId="3" borderId="13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2"/>
  <sheetViews>
    <sheetView tabSelected="1" view="pageLayout" zoomScaleNormal="100" workbookViewId="0">
      <selection activeCell="A24" sqref="A24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38</v>
      </c>
      <c r="B1" s="2"/>
      <c r="C1" s="23" t="s">
        <v>28</v>
      </c>
      <c r="D1" s="2"/>
      <c r="E1" s="2"/>
      <c r="F1" s="2"/>
      <c r="G1" s="3">
        <v>46192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0" t="s">
        <v>39</v>
      </c>
      <c r="C3" s="31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469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36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43" t="s">
        <v>40</v>
      </c>
      <c r="B11" s="44"/>
      <c r="C11" s="44"/>
      <c r="D11" s="44"/>
      <c r="E11" s="44"/>
      <c r="F11" s="44"/>
      <c r="G11" s="45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46" t="s">
        <v>19</v>
      </c>
      <c r="C14" s="46"/>
      <c r="D14" s="46"/>
      <c r="E14" s="46"/>
      <c r="F14" s="9" t="s">
        <v>8</v>
      </c>
      <c r="G14" s="10" t="s">
        <v>1</v>
      </c>
    </row>
    <row r="15" spans="1:7" ht="32.25" customHeight="1" x14ac:dyDescent="0.25">
      <c r="A15" s="11" t="s">
        <v>20</v>
      </c>
      <c r="B15" s="48" t="s">
        <v>30</v>
      </c>
      <c r="C15" s="48"/>
      <c r="D15" s="48"/>
      <c r="E15" s="48"/>
      <c r="F15" s="20">
        <f>B6*1.4/1000*0.845*42.7</f>
        <v>23.6911129</v>
      </c>
      <c r="G15" s="12" t="s">
        <v>25</v>
      </c>
    </row>
    <row r="16" spans="1:7" ht="45" customHeight="1" x14ac:dyDescent="0.25">
      <c r="A16" s="18" t="s">
        <v>9</v>
      </c>
      <c r="B16" s="47" t="s">
        <v>18</v>
      </c>
      <c r="C16" s="47"/>
      <c r="D16" s="47"/>
      <c r="E16" s="47"/>
      <c r="F16" s="22">
        <f>B6*100/1000</f>
        <v>46.9</v>
      </c>
      <c r="G16" s="19" t="s">
        <v>29</v>
      </c>
    </row>
    <row r="17" spans="1:7" ht="45" customHeight="1" x14ac:dyDescent="0.25">
      <c r="A17" s="27" t="s">
        <v>37</v>
      </c>
      <c r="B17" s="47" t="s">
        <v>18</v>
      </c>
      <c r="C17" s="47"/>
      <c r="D17" s="47"/>
      <c r="E17" s="47"/>
      <c r="F17" s="29">
        <f>B6*0.2*50/1000</f>
        <v>4.6900000000000013</v>
      </c>
      <c r="G17" s="19" t="s">
        <v>29</v>
      </c>
    </row>
    <row r="18" spans="1:7" ht="30.75" customHeight="1" x14ac:dyDescent="0.25">
      <c r="A18" s="27" t="s">
        <v>34</v>
      </c>
      <c r="B18" s="47" t="s">
        <v>32</v>
      </c>
      <c r="C18" s="47"/>
      <c r="D18" s="47"/>
      <c r="E18" s="47"/>
      <c r="F18" s="22">
        <f>B6*0.2</f>
        <v>93.800000000000011</v>
      </c>
      <c r="G18" s="19" t="s">
        <v>10</v>
      </c>
    </row>
    <row r="19" spans="1:7" ht="45.75" customHeight="1" x14ac:dyDescent="0.25">
      <c r="A19" s="18" t="s">
        <v>23</v>
      </c>
      <c r="B19" s="47" t="s">
        <v>24</v>
      </c>
      <c r="C19" s="47"/>
      <c r="D19" s="47"/>
      <c r="E19" s="47"/>
      <c r="F19" s="21">
        <f>-1460*0.2</f>
        <v>-292</v>
      </c>
      <c r="G19" s="19" t="s">
        <v>25</v>
      </c>
    </row>
    <row r="20" spans="1:7" ht="15.75" customHeight="1" x14ac:dyDescent="0.25">
      <c r="A20" s="24" t="s">
        <v>22</v>
      </c>
      <c r="B20" s="49" t="s">
        <v>21</v>
      </c>
      <c r="C20" s="49"/>
      <c r="D20" s="49"/>
      <c r="E20" s="49"/>
      <c r="F20" s="26">
        <f>-724*0.2</f>
        <v>-144.80000000000001</v>
      </c>
      <c r="G20" s="25" t="s">
        <v>25</v>
      </c>
    </row>
    <row r="21" spans="1:7" ht="29.45" customHeight="1" thickBot="1" x14ac:dyDescent="0.3">
      <c r="A21" s="7" t="s">
        <v>33</v>
      </c>
      <c r="B21" s="50" t="s">
        <v>42</v>
      </c>
      <c r="C21" s="50"/>
      <c r="D21" s="50"/>
      <c r="E21" s="50"/>
      <c r="F21" s="28">
        <f>-B6/443*0.8</f>
        <v>-0.84695259593679462</v>
      </c>
      <c r="G21" s="13" t="s">
        <v>35</v>
      </c>
    </row>
    <row r="22" spans="1:7" ht="152.2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38</v>
      </c>
      <c r="B23" s="2"/>
      <c r="C23" s="23" t="s">
        <v>31</v>
      </c>
      <c r="D23" s="2"/>
      <c r="E23" s="2"/>
      <c r="F23" s="2"/>
      <c r="G23" s="3">
        <v>46192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16</v>
      </c>
      <c r="C26" s="14" t="s">
        <v>13</v>
      </c>
      <c r="D26" s="41" t="s">
        <v>14</v>
      </c>
      <c r="E26" s="41"/>
      <c r="F26" s="41" t="s">
        <v>15</v>
      </c>
      <c r="G26" s="42"/>
    </row>
    <row r="27" spans="1:7" x14ac:dyDescent="0.25">
      <c r="A27" s="11" t="s">
        <v>20</v>
      </c>
      <c r="B27" s="16">
        <v>2.4300000000000002</v>
      </c>
      <c r="C27" s="16">
        <v>1.7100000000000001E-2</v>
      </c>
      <c r="D27" s="37">
        <v>3.9199999999999999E-3</v>
      </c>
      <c r="E27" s="37"/>
      <c r="F27" s="37">
        <v>0.71399999999999997</v>
      </c>
      <c r="G27" s="38"/>
    </row>
    <row r="28" spans="1:7" x14ac:dyDescent="0.25">
      <c r="A28" s="18" t="s">
        <v>9</v>
      </c>
      <c r="B28" s="15">
        <v>8.9700000000000006</v>
      </c>
      <c r="C28" s="15">
        <v>0.39900000000000002</v>
      </c>
      <c r="D28" s="35">
        <v>2.3599999999999999E-2</v>
      </c>
      <c r="E28" s="35"/>
      <c r="F28" s="35">
        <v>2.83</v>
      </c>
      <c r="G28" s="39"/>
    </row>
    <row r="29" spans="1:7" ht="30" x14ac:dyDescent="0.25">
      <c r="A29" s="27" t="s">
        <v>37</v>
      </c>
      <c r="B29" s="15">
        <v>0.89700000000000002</v>
      </c>
      <c r="C29" s="15">
        <v>3.9899999999999998E-2</v>
      </c>
      <c r="D29" s="35">
        <v>2.3600000000000001E-3</v>
      </c>
      <c r="E29" s="35"/>
      <c r="F29" s="35">
        <v>0.28299999999999997</v>
      </c>
      <c r="G29" s="39"/>
    </row>
    <row r="30" spans="1:7" ht="30" x14ac:dyDescent="0.25">
      <c r="A30" s="27" t="s">
        <v>34</v>
      </c>
      <c r="B30" s="15">
        <v>1.48</v>
      </c>
      <c r="C30" s="15">
        <v>2.4199999999999999E-2</v>
      </c>
      <c r="D30" s="35">
        <v>1.2500000000000001E-2</v>
      </c>
      <c r="E30" s="35"/>
      <c r="F30" s="35">
        <v>0.30099999999999999</v>
      </c>
      <c r="G30" s="39"/>
    </row>
    <row r="31" spans="1:7" x14ac:dyDescent="0.25">
      <c r="A31" s="18" t="s">
        <v>23</v>
      </c>
      <c r="B31" s="15">
        <v>-21.3</v>
      </c>
      <c r="C31" s="15">
        <v>-1.25</v>
      </c>
      <c r="D31" s="35">
        <v>-6.9100000000000003E-3</v>
      </c>
      <c r="E31" s="35"/>
      <c r="F31" s="35">
        <v>-0.46300000000000002</v>
      </c>
      <c r="G31" s="39"/>
    </row>
    <row r="32" spans="1:7" x14ac:dyDescent="0.25">
      <c r="A32" s="18" t="s">
        <v>22</v>
      </c>
      <c r="B32" s="15">
        <v>-7.19</v>
      </c>
      <c r="C32" s="15">
        <v>-1.63</v>
      </c>
      <c r="D32" s="35">
        <v>-6.25E-2</v>
      </c>
      <c r="E32" s="35"/>
      <c r="F32" s="35">
        <v>-1.77</v>
      </c>
      <c r="G32" s="39"/>
    </row>
    <row r="33" spans="1:7" ht="15.75" thickBot="1" x14ac:dyDescent="0.3">
      <c r="A33" s="7" t="s">
        <v>33</v>
      </c>
      <c r="B33" s="15">
        <v>-135</v>
      </c>
      <c r="C33" s="15">
        <v>-698</v>
      </c>
      <c r="D33" s="35">
        <v>-0.47099999999999997</v>
      </c>
      <c r="E33" s="35"/>
      <c r="F33" s="35">
        <v>-41.6</v>
      </c>
      <c r="G33" s="39"/>
    </row>
    <row r="34" spans="1:7" ht="15.75" thickBot="1" x14ac:dyDescent="0.3">
      <c r="A34" s="8" t="s">
        <v>17</v>
      </c>
      <c r="B34" s="17">
        <v>-150</v>
      </c>
      <c r="C34" s="17">
        <v>-701</v>
      </c>
      <c r="D34" s="36">
        <v>-0.498</v>
      </c>
      <c r="E34" s="36"/>
      <c r="F34" s="36">
        <v>-43.8</v>
      </c>
      <c r="G34" s="40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06.5" customHeight="1" thickBot="1" x14ac:dyDescent="0.3">
      <c r="A37" s="32" t="s">
        <v>41</v>
      </c>
      <c r="B37" s="33"/>
      <c r="C37" s="33"/>
      <c r="D37" s="33"/>
      <c r="E37" s="33"/>
      <c r="F37" s="33"/>
      <c r="G37" s="3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  <row r="61" spans="1:7" x14ac:dyDescent="0.25">
      <c r="A61" s="4"/>
      <c r="B61" s="4"/>
      <c r="C61" s="4"/>
      <c r="D61" s="4"/>
      <c r="E61" s="4"/>
      <c r="F61" s="4"/>
      <c r="G61" s="4"/>
    </row>
    <row r="62" spans="1:7" x14ac:dyDescent="0.25">
      <c r="A62" s="4"/>
      <c r="B62" s="4"/>
      <c r="C62" s="4"/>
      <c r="D62" s="4"/>
      <c r="E62" s="4"/>
      <c r="F62" s="4"/>
      <c r="G62" s="4"/>
    </row>
  </sheetData>
  <mergeCells count="30">
    <mergeCell ref="B8:C8"/>
    <mergeCell ref="D26:E26"/>
    <mergeCell ref="F26:G26"/>
    <mergeCell ref="D27:E27"/>
    <mergeCell ref="D28:E28"/>
    <mergeCell ref="A11:G11"/>
    <mergeCell ref="B14:E14"/>
    <mergeCell ref="B16:E16"/>
    <mergeCell ref="B18:E18"/>
    <mergeCell ref="B15:E15"/>
    <mergeCell ref="B20:E20"/>
    <mergeCell ref="B19:E19"/>
    <mergeCell ref="B21:E21"/>
    <mergeCell ref="B17:E17"/>
    <mergeCell ref="B3:C3"/>
    <mergeCell ref="A37:G37"/>
    <mergeCell ref="D32:E32"/>
    <mergeCell ref="D34:E34"/>
    <mergeCell ref="F27:G27"/>
    <mergeCell ref="F28:G28"/>
    <mergeCell ref="F32:G32"/>
    <mergeCell ref="F34:G34"/>
    <mergeCell ref="D30:E30"/>
    <mergeCell ref="F30:G30"/>
    <mergeCell ref="D31:E31"/>
    <mergeCell ref="F31:G31"/>
    <mergeCell ref="D33:E33"/>
    <mergeCell ref="F33:G33"/>
    <mergeCell ref="D29:E29"/>
    <mergeCell ref="F29:G2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CLT_RU_01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2026-06-20T10:55:36Z</dcterms:modified>
</cp:coreProperties>
</file>