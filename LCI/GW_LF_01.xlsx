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3BAC00F-2668-463B-9FD8-405CFC18E2B3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G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<sst xmlns="http://schemas.openxmlformats.org/spreadsheetml/2006/main" count="38" uniqueCount="33">
  <si>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</si>
  <si>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</si>
  <si>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</si>
  <si>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</si>
  <si>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</si>
  <si>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</si>
  <si>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</si>
  <si>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</si>
  <si>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</si>
  <si>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</si>
  <si>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</si>
  <si>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</si>
  <si>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</si>
  <si>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</si>
  <si>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</si>
  <si>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</si>
  <si>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</si>
  <si>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</si>
  <si>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</si>
  <si>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</si>
  <si>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</si>
  <si>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</si>
  <si>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GW_LF_01 - Life Cycle Inventory</t>
  </si>
  <si>
    <t>Glass Wool</t>
  </si>
  <si>
    <t>1 m³</t>
  </si>
  <si>
    <t>Diesel, burned in building machine {GLO}| market for diesel, burned in building machine | Cut-off, S</t>
  </si>
  <si>
    <t>Mass factor determined from BR18, appendix 2, table 7 ID #D1534, rounded to 3 significant figures.
Diesel density assumed to be 0.845 kg/L with an energy density of 42.7 MJ/kg.
[1] Miljøstyrelsen: https://www2.mst.dk/Udgiv/publikationer/2022/02/978-87-7038-353-0.pdf</t>
  </si>
  <si>
    <t>MJ</t>
  </si>
  <si>
    <t>tkm</t>
  </si>
  <si>
    <t>kg/m³</t>
  </si>
  <si>
    <t>Waste mineral wool, for final disposal {Europe without Switzerland}| treatment of waste mineral wool, inert material landfill | Cut-off, S</t>
  </si>
  <si>
    <t>1 m³ of glass wool is extracted from the building using diesel-driven machinery. Assumed diesel use of 1.4 L/t material based on a report from the Danish Environmental Protection Agency [1]. The glass wool is transported 50 km by truck to a municipal landfill site.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</si>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</sst>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C1" sqref="C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22</v>
      </c>
      <c r="B1" s="2"/>
      <c r="C1" s="45" t="s">
        <v>32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23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27.8</v>
      </c>
      <c r="C6" s="4" t="s">
        <v>29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6" t="s">
        <v>20</v>
      </c>
      <c r="C8" s="2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2" t="s">
        <v>31</v>
      </c>
      <c r="B11" s="33"/>
      <c r="C11" s="33"/>
      <c r="D11" s="33"/>
      <c r="E11" s="33"/>
      <c r="F11" s="33"/>
      <c r="G11" s="3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5" t="s">
        <v>19</v>
      </c>
      <c r="C14" s="35"/>
      <c r="D14" s="35"/>
      <c r="E14" s="35"/>
      <c r="F14" s="10" t="s">
        <v>8</v>
      </c>
      <c r="G14" s="11" t="s">
        <v>1</v>
      </c>
    </row>
    <row r="15" spans="1:7" ht="32.25" customHeight="1" x14ac:dyDescent="0.25">
      <c r="A15" s="12" t="s">
        <v>21</v>
      </c>
      <c r="B15" s="38" t="s">
        <v>25</v>
      </c>
      <c r="C15" s="38"/>
      <c r="D15" s="38"/>
      <c r="E15" s="38"/>
      <c r="F15" s="24">
        <f>B6*1.4/1000*0.845*42.7</f>
        <v>1.4042919800000002</v>
      </c>
      <c r="G15" s="13" t="s">
        <v>27</v>
      </c>
    </row>
    <row r="16" spans="1:7" ht="45" customHeight="1" x14ac:dyDescent="0.25">
      <c r="A16" s="21" t="s">
        <v>9</v>
      </c>
      <c r="B16" s="36" t="s">
        <v>18</v>
      </c>
      <c r="C16" s="36"/>
      <c r="D16" s="36"/>
      <c r="E16" s="36"/>
      <c r="F16" s="25">
        <f>B6*50/1000</f>
        <v>1.39</v>
      </c>
      <c r="G16" s="22" t="s">
        <v>28</v>
      </c>
    </row>
    <row r="17" spans="1:7" ht="45.75" customHeight="1" thickBot="1" x14ac:dyDescent="0.3">
      <c r="A17" s="8" t="s">
        <v>20</v>
      </c>
      <c r="B17" s="37" t="s">
        <v>30</v>
      </c>
      <c r="C17" s="37"/>
      <c r="D17" s="37"/>
      <c r="E17" s="37"/>
      <c r="F17" s="14">
        <f>B6</f>
        <v>27.8</v>
      </c>
      <c r="G17" s="15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6" t="s">
        <v>16</v>
      </c>
      <c r="C20" s="16" t="s">
        <v>13</v>
      </c>
      <c r="D20" s="28" t="s">
        <v>14</v>
      </c>
      <c r="E20" s="28"/>
      <c r="F20" s="28" t="s">
        <v>15</v>
      </c>
      <c r="G20" s="29"/>
    </row>
    <row r="21" spans="1:7" x14ac:dyDescent="0.25">
      <c r="A21" s="12" t="s">
        <v>21</v>
      </c>
      <c r="B21" s="18">
        <v>0.14399999999999999</v>
      </c>
      <c r="C21" s="18">
        <v>1.01E-3</v>
      </c>
      <c r="D21" s="30">
        <v>2.31E-4</v>
      </c>
      <c r="E21" s="30"/>
      <c r="F21" s="30">
        <v>4.2200000000000001E-2</v>
      </c>
      <c r="G21" s="41"/>
    </row>
    <row r="22" spans="1:7" x14ac:dyDescent="0.25">
      <c r="A22" s="21" t="s">
        <v>9</v>
      </c>
      <c r="B22" s="17">
        <v>0.26600000000000001</v>
      </c>
      <c r="C22" s="17">
        <v>1.18E-2</v>
      </c>
      <c r="D22" s="31">
        <v>7.0100000000000002E-4</v>
      </c>
      <c r="E22" s="31"/>
      <c r="F22" s="31">
        <v>8.3799999999999999E-2</v>
      </c>
      <c r="G22" s="42"/>
    </row>
    <row r="23" spans="1:7" ht="15.75" thickBot="1" x14ac:dyDescent="0.3">
      <c r="A23" s="8" t="s">
        <v>20</v>
      </c>
      <c r="B23" s="19">
        <v>0.18</v>
      </c>
      <c r="C23" s="19">
        <v>-9.92E-3</v>
      </c>
      <c r="D23" s="39">
        <v>3.7599999999999998E-4</v>
      </c>
      <c r="E23" s="39"/>
      <c r="F23" s="39">
        <v>9.7900000000000001E-2</v>
      </c>
      <c r="G23" s="43"/>
    </row>
    <row r="24" spans="1:7" ht="15.75" thickBot="1" x14ac:dyDescent="0.3">
      <c r="A24" s="9" t="s">
        <v>17</v>
      </c>
      <c r="B24" s="20">
        <v>0.59</v>
      </c>
      <c r="C24" s="20">
        <v>2.9099999999999998E-3</v>
      </c>
      <c r="D24" s="40">
        <v>1.31E-3</v>
      </c>
      <c r="E24" s="40"/>
      <c r="F24" s="40">
        <v>0.224</v>
      </c>
      <c r="G24" s="4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00.5" customHeight="1" thickBot="1" x14ac:dyDescent="0.3">
      <c r="A27" s="32" t="s">
        <v>26</v>
      </c>
      <c r="B27" s="33"/>
      <c r="C27" s="33"/>
      <c r="D27" s="33"/>
      <c r="E27" s="33"/>
      <c r="F27" s="33"/>
      <c r="G27" s="34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GW_LF_01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2026-06-17T19:24:13Z</dcterms:modified>
</cp:coreProperties>
</file>