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F9323FF6-4AD4-440B-A8F6-FC9F9FA43442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RF_LF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7" i="1" l="1"/>
  <c r="F16" i="1"/>
  <c r="F15" i="1"/>
</calcChain>
</file>

<file path=xl/sharedStrings.xml><?xml version="1.0" encoding="utf-8"?>
<sst xmlns="http://schemas.openxmlformats.org/spreadsheetml/2006/main" count="38" uniqueCount="33">
  <si>
    <t>Material</t>
  </si>
  <si>
    <t>Unit</t>
  </si>
  <si>
    <t>Mass factor</t>
  </si>
  <si>
    <t>Process</t>
  </si>
  <si>
    <t>Declared unit</t>
  </si>
  <si>
    <t>Life Cycle Inventory</t>
  </si>
  <si>
    <t>Scenario</t>
  </si>
  <si>
    <t>Roofing Felt</t>
  </si>
  <si>
    <t>1 m²</t>
  </si>
  <si>
    <t>Scenario description</t>
  </si>
  <si>
    <t>Amount</t>
  </si>
  <si>
    <t>Transportation</t>
  </si>
  <si>
    <t>kg</t>
  </si>
  <si>
    <t>Process contribution</t>
  </si>
  <si>
    <t>Comments</t>
  </si>
  <si>
    <t>kg/m²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</si>
  <si>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</si>
  <si>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</si>
  <si>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</si>
  <si>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</si>
  <si>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</si>
  <si>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</si>
  <si>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</si>
  <si>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Landfill</t>
  </si>
  <si>
    <t>Disassembly</t>
  </si>
  <si>
    <t>Electricity, low voltage {DK}| market for | Cut-off, S</t>
  </si>
  <si>
    <t>kJ</t>
  </si>
  <si>
    <t>kgkm</t>
  </si>
  <si>
    <t>Waste bitumen {Europe without Switzerland}| treatment of waste bitumen, sanitary landfill | Cut-off, S</t>
  </si>
  <si>
    <t>RF_LF_01 - Life Cycle Inventory</t>
  </si>
  <si>
    <t>Page 1 of 1</t>
  </si>
  <si>
    <t>1 m² of double-layered roofing felt is extracted from the building using electric tools. Assumed electricity use of 0.989 kJ/kg roofing felt based on reference calculation [1]. The roofing felt is transported 50 km by truck to a municipal landfill site.</t>
  </si>
  <si>
    <t>Mass factor determined from BR18, appendix 2, table 7 ID #D1501, rounded to 3 significant figures.
[1] Reference calculation: https://github.com/GustavS193940/Catalogue-of-value-creation-processes-for-building-materials/blob/b19f72869c2b249eae2a71bcbf9176dfd2070a8f/Electricity%20Reference/README.md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</si>
</sst>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8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1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5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164" fontId="0" fillId="3" borderId="9" xfId="0" applyNumberFormat="1" applyFill="1" applyBorder="1" applyAlignment="1">
      <alignment vertical="center"/>
    </xf>
    <xf numFmtId="1" fontId="0" fillId="3" borderId="16" xfId="0" applyNumberForma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11" fontId="0" fillId="3" borderId="9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0" fontId="1" fillId="3" borderId="5" xfId="0" applyFont="1" applyFill="1" applyBorder="1"/>
    <xf numFmtId="0" fontId="0" fillId="3" borderId="16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11" fontId="0" fillId="3" borderId="13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14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28"/>
  <sheetViews>
    <sheetView tabSelected="1" view="pageLayout" topLeftCell="A20" zoomScaleNormal="100" workbookViewId="0">
      <selection activeCell="A25" sqref="A25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29</v>
      </c>
      <c r="B1" s="2"/>
      <c r="C1" s="25" t="s">
        <v>30</v>
      </c>
      <c r="D1" s="2"/>
      <c r="E1" s="2"/>
      <c r="F1" s="2"/>
      <c r="G1" s="3">
        <v>46190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7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8</v>
      </c>
      <c r="C5" s="4"/>
      <c r="D5" s="4"/>
      <c r="E5" s="4"/>
      <c r="F5" s="4"/>
      <c r="G5" s="4"/>
    </row>
    <row r="6" spans="1:7" x14ac:dyDescent="0.25">
      <c r="A6" s="5" t="s">
        <v>2</v>
      </c>
      <c r="B6" s="6">
        <v>12.8</v>
      </c>
      <c r="C6" s="4" t="s">
        <v>15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26" t="s">
        <v>23</v>
      </c>
      <c r="C8" s="27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9</v>
      </c>
      <c r="B10" s="4"/>
      <c r="C10" s="4"/>
      <c r="D10" s="4"/>
      <c r="E10" s="4"/>
      <c r="F10" s="4"/>
      <c r="G10" s="4"/>
    </row>
    <row r="11" spans="1:7" ht="113.25" customHeight="1" thickBot="1" x14ac:dyDescent="0.3">
      <c r="A11" s="36" t="s">
        <v>31</v>
      </c>
      <c r="B11" s="37"/>
      <c r="C11" s="37"/>
      <c r="D11" s="37"/>
      <c r="E11" s="37"/>
      <c r="F11" s="37"/>
      <c r="G11" s="38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32" t="s">
        <v>22</v>
      </c>
      <c r="C14" s="32"/>
      <c r="D14" s="32"/>
      <c r="E14" s="32"/>
      <c r="F14" s="10" t="s">
        <v>10</v>
      </c>
      <c r="G14" s="11" t="s">
        <v>1</v>
      </c>
    </row>
    <row r="15" spans="1:7" x14ac:dyDescent="0.25">
      <c r="A15" s="12" t="s">
        <v>24</v>
      </c>
      <c r="B15" s="35" t="s">
        <v>25</v>
      </c>
      <c r="C15" s="35"/>
      <c r="D15" s="35"/>
      <c r="E15" s="35"/>
      <c r="F15" s="23">
        <f>B6*0.989</f>
        <v>12.6592</v>
      </c>
      <c r="G15" s="13" t="s">
        <v>26</v>
      </c>
    </row>
    <row r="16" spans="1:7" ht="45" customHeight="1" x14ac:dyDescent="0.25">
      <c r="A16" s="21" t="s">
        <v>11</v>
      </c>
      <c r="B16" s="33" t="s">
        <v>21</v>
      </c>
      <c r="C16" s="33"/>
      <c r="D16" s="33"/>
      <c r="E16" s="33"/>
      <c r="F16" s="24">
        <f>B6*50</f>
        <v>640</v>
      </c>
      <c r="G16" s="22" t="s">
        <v>27</v>
      </c>
    </row>
    <row r="17" spans="1:7" ht="30.75" customHeight="1" thickBot="1" x14ac:dyDescent="0.3">
      <c r="A17" s="8" t="s">
        <v>23</v>
      </c>
      <c r="B17" s="34" t="s">
        <v>28</v>
      </c>
      <c r="C17" s="34"/>
      <c r="D17" s="34"/>
      <c r="E17" s="34"/>
      <c r="F17" s="14">
        <f>B6</f>
        <v>12.8</v>
      </c>
      <c r="G17" s="15" t="s">
        <v>12</v>
      </c>
    </row>
    <row r="18" spans="1:7" x14ac:dyDescent="0.25">
      <c r="A18" s="4"/>
      <c r="B18" s="4"/>
      <c r="C18" s="4"/>
      <c r="D18" s="4"/>
      <c r="E18" s="4"/>
      <c r="F18" s="4"/>
      <c r="G18" s="4"/>
    </row>
    <row r="19" spans="1:7" ht="15.75" thickBot="1" x14ac:dyDescent="0.3">
      <c r="A19" s="5" t="s">
        <v>13</v>
      </c>
      <c r="B19" s="4"/>
      <c r="C19" s="4"/>
      <c r="D19" s="4"/>
      <c r="E19" s="4"/>
      <c r="F19" s="4"/>
      <c r="G19" s="4"/>
    </row>
    <row r="20" spans="1:7" ht="47.25" thickBot="1" x14ac:dyDescent="0.4">
      <c r="A20" s="9" t="s">
        <v>3</v>
      </c>
      <c r="B20" s="16" t="s">
        <v>19</v>
      </c>
      <c r="C20" s="16" t="s">
        <v>16</v>
      </c>
      <c r="D20" s="28" t="s">
        <v>17</v>
      </c>
      <c r="E20" s="28"/>
      <c r="F20" s="28" t="s">
        <v>18</v>
      </c>
      <c r="G20" s="29"/>
    </row>
    <row r="21" spans="1:7" x14ac:dyDescent="0.25">
      <c r="A21" s="12" t="s">
        <v>24</v>
      </c>
      <c r="B21" s="18">
        <v>6.29E-4</v>
      </c>
      <c r="C21" s="18">
        <v>1.4200000000000001E-4</v>
      </c>
      <c r="D21" s="30">
        <v>5.48E-6</v>
      </c>
      <c r="E21" s="30"/>
      <c r="F21" s="30">
        <v>1.55E-4</v>
      </c>
      <c r="G21" s="41"/>
    </row>
    <row r="22" spans="1:7" x14ac:dyDescent="0.25">
      <c r="A22" s="21" t="s">
        <v>11</v>
      </c>
      <c r="B22" s="17">
        <v>0.122</v>
      </c>
      <c r="C22" s="17">
        <v>5.4400000000000004E-3</v>
      </c>
      <c r="D22" s="31">
        <v>3.2299999999999999E-4</v>
      </c>
      <c r="E22" s="31"/>
      <c r="F22" s="31">
        <v>3.8600000000000002E-2</v>
      </c>
      <c r="G22" s="42"/>
    </row>
    <row r="23" spans="1:7" ht="15.75" thickBot="1" x14ac:dyDescent="0.3">
      <c r="A23" s="8" t="s">
        <v>23</v>
      </c>
      <c r="B23" s="19">
        <v>1.74</v>
      </c>
      <c r="C23" s="19">
        <v>1.9599999999999999E-2</v>
      </c>
      <c r="D23" s="39">
        <v>4.0000000000000002E-4</v>
      </c>
      <c r="E23" s="39"/>
      <c r="F23" s="39">
        <v>7.1099999999999997E-2</v>
      </c>
      <c r="G23" s="43"/>
    </row>
    <row r="24" spans="1:7" ht="15.75" thickBot="1" x14ac:dyDescent="0.3">
      <c r="A24" s="9" t="s">
        <v>20</v>
      </c>
      <c r="B24" s="20">
        <v>1.86</v>
      </c>
      <c r="C24" s="20">
        <v>2.52E-2</v>
      </c>
      <c r="D24" s="40">
        <v>7.2800000000000002E-4</v>
      </c>
      <c r="E24" s="40"/>
      <c r="F24" s="40">
        <v>0.11</v>
      </c>
      <c r="G24" s="44"/>
    </row>
    <row r="25" spans="1:7" x14ac:dyDescent="0.25">
      <c r="A25" s="4"/>
      <c r="B25" s="4"/>
      <c r="C25" s="4"/>
      <c r="D25" s="4"/>
      <c r="E25" s="4"/>
      <c r="F25" s="4"/>
      <c r="G25" s="4"/>
    </row>
    <row r="26" spans="1:7" ht="15.75" thickBot="1" x14ac:dyDescent="0.3">
      <c r="A26" s="5" t="s">
        <v>14</v>
      </c>
      <c r="B26" s="4"/>
      <c r="C26" s="4"/>
      <c r="D26" s="4"/>
      <c r="E26" s="4"/>
      <c r="F26" s="4"/>
      <c r="G26" s="4"/>
    </row>
    <row r="27" spans="1:7" ht="128.25" customHeight="1" thickBot="1" x14ac:dyDescent="0.3">
      <c r="A27" s="36" t="s">
        <v>32</v>
      </c>
      <c r="B27" s="37"/>
      <c r="C27" s="37"/>
      <c r="D27" s="37"/>
      <c r="E27" s="37"/>
      <c r="F27" s="37"/>
      <c r="G27" s="38"/>
    </row>
    <row r="28" spans="1:7" x14ac:dyDescent="0.25">
      <c r="A28" s="4"/>
      <c r="B28" s="4"/>
      <c r="C28" s="4"/>
      <c r="D28" s="4"/>
      <c r="E28" s="4"/>
      <c r="F28" s="4"/>
      <c r="G28" s="4"/>
    </row>
  </sheetData>
  <mergeCells count="17">
    <mergeCell ref="A27:G27"/>
    <mergeCell ref="D23:E23"/>
    <mergeCell ref="D24:E24"/>
    <mergeCell ref="F21:G21"/>
    <mergeCell ref="F22:G22"/>
    <mergeCell ref="F23:G23"/>
    <mergeCell ref="F24:G24"/>
    <mergeCell ref="B8:C8"/>
    <mergeCell ref="D20:E20"/>
    <mergeCell ref="F20:G20"/>
    <mergeCell ref="D21:E21"/>
    <mergeCell ref="D22:E22"/>
    <mergeCell ref="A11:G11"/>
    <mergeCell ref="B14:E14"/>
    <mergeCell ref="B16:E16"/>
    <mergeCell ref="B17:E17"/>
    <mergeCell ref="B15:E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RF_LF_01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2026-06-21T20:23:56Z</dcterms:modified>
</cp:coreProperties>
</file>