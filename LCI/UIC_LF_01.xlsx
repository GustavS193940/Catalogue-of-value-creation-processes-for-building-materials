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63033803-2655-4A27-B6FE-5882B54980F7}" xr6:coauthVersionLast="47" xr6:coauthVersionMax="47" xr10:uidLastSave="{00000000-0000-0000-0000-000000000000}"/>
  <bookViews>
    <workbookView xWindow="-120" yWindow="-120" windowWidth="29040" windowHeight="15840" xr2:uid="{DB1217F5-3EDD-4456-A020-305ADC7C8E64}"/>
  </bookViews>
  <sheets>
    <sheet name="UIC_LF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7" i="1" l="1"/>
  <c r="F16" i="1"/>
  <c r="F15" i="1"/>
</calcChain>
</file>

<file path=xl/sharedStrings.xml><?xml version="1.0" encoding="utf-8"?>
<sst xmlns="http://schemas.openxmlformats.org/spreadsheetml/2006/main" count="38" uniqueCount="33">
  <si>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</si>
  <si>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</si>
  <si>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</si>
  <si>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</si>
  <si>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</si>
  <si>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</si>
  <si>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</si>
  <si>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</si>
  <si>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</si>
  <si>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</si>
  <si>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</si>
  <si>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</si>
  <si>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</si>
  <si>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</si>
  <si>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t>Mineral Ressource Scarcity 
[kg CU eq]</t>
  </si>
  <si>
    <t>Fossil Ressource Scarcity 
[kg oil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</si>
  <si>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</si>
  <si>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</si>
  <si>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</si>
  <si>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</si>
  <si>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Landfill</t>
  </si>
  <si>
    <t>Disassembly</t>
  </si>
  <si>
    <t>Diesel, burned in building machine {GLO}| market for diesel, burned in building machine | Cut-off, S</t>
  </si>
  <si>
    <t>MJ</t>
  </si>
  <si>
    <t>Page 1 of 1</t>
  </si>
  <si>
    <t>tkm</t>
  </si>
  <si>
    <t>UIC_LF_01 - Life Cycle Inventory</t>
  </si>
  <si>
    <t>Unreinforced Insitu Concrete</t>
  </si>
  <si>
    <t>1 m³</t>
  </si>
  <si>
    <t>kg/m³</t>
  </si>
  <si>
    <t>Mass factor determined from BR18, appendix 2, table 7 ID #B1441.
Diesel density assumed to be 0.845 kg/L with an energy density of 42.7 MJ/kg.
[1] Miljøstyrelsen: https://www2.mst.dk/Udgiv/publikationer/2022/02/978-87-7038-353-0.pdf</t>
  </si>
  <si>
    <t>Waste concrete {Europe without Switzerland}| treatment of waste concrete, inert material landfill | Cut-off, S</t>
  </si>
  <si>
    <t>1 m³ concrete is extracted from the building using diesel-driven machinery. Assumed diesel use of 1.4 L/t material based on a report from the Danish Environmental Protection Agency [1]. The concrete is transported 50 km by truck to a municipal landfill site.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</si>
</sst>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5" xfId="0" applyFill="1" applyBorder="1" applyAlignment="1">
      <alignment vertical="center"/>
    </xf>
    <xf numFmtId="0" fontId="1" fillId="3" borderId="2" xfId="0" applyFont="1" applyFill="1" applyBorder="1"/>
    <xf numFmtId="0" fontId="1" fillId="3" borderId="4" xfId="0" applyFont="1" applyFill="1" applyBorder="1"/>
    <xf numFmtId="0" fontId="1" fillId="3" borderId="3" xfId="0" applyFont="1" applyFill="1" applyBorder="1"/>
    <xf numFmtId="0" fontId="0" fillId="3" borderId="7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1" fillId="3" borderId="4" xfId="0" applyFont="1" applyFill="1" applyBorder="1" applyAlignment="1">
      <alignment wrapText="1"/>
    </xf>
    <xf numFmtId="11" fontId="0" fillId="3" borderId="10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0" fillId="3" borderId="14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1" fontId="0" fillId="3" borderId="0" xfId="0" applyNumberFormat="1" applyFill="1" applyAlignment="1">
      <alignment horizontal="center"/>
    </xf>
    <xf numFmtId="1" fontId="0" fillId="3" borderId="1" xfId="0" applyNumberFormat="1" applyFill="1" applyBorder="1" applyAlignment="1">
      <alignment vertical="center"/>
    </xf>
    <xf numFmtId="1" fontId="0" fillId="3" borderId="15" xfId="0" applyNumberFormat="1" applyFill="1" applyBorder="1" applyAlignment="1">
      <alignment vertical="center"/>
    </xf>
    <xf numFmtId="1" fontId="0" fillId="3" borderId="8" xfId="0" applyNumberFormat="1" applyFill="1" applyBorder="1" applyAlignment="1">
      <alignment vertical="center"/>
    </xf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2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11" fontId="0" fillId="3" borderId="12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11" fontId="0" fillId="3" borderId="13" xfId="0" applyNumberFormat="1" applyFill="1" applyBorder="1" applyAlignment="1">
      <alignment horizontal="center"/>
    </xf>
    <xf numFmtId="11" fontId="0" fillId="3" borderId="3" xfId="0" applyNumberFormat="1" applyFill="1" applyBorder="1" applyAlignment="1">
      <alignment horizontal="center"/>
    </xf>
    <xf numFmtId="0" fontId="0" fillId="3" borderId="2" xfId="0" applyFill="1" applyBorder="1"/>
    <xf numFmtId="0" fontId="0" fillId="3" borderId="3" xfId="0" applyFill="1" applyBorder="1"/>
    <xf numFmtId="0" fontId="1" fillId="3" borderId="4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1" fillId="3" borderId="4" xfId="0" applyFont="1" applyFill="1" applyBorder="1"/>
    <xf numFmtId="0" fontId="0" fillId="3" borderId="15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8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27"/>
  <sheetViews>
    <sheetView tabSelected="1" view="pageLayout" topLeftCell="A9" zoomScaleNormal="100" workbookViewId="0">
      <selection activeCell="A12" sqref="A12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26</v>
      </c>
      <c r="B1" s="2"/>
      <c r="C1" s="21" t="s">
        <v>24</v>
      </c>
      <c r="D1" s="2"/>
      <c r="E1" s="2"/>
      <c r="F1" s="2"/>
      <c r="G1" s="3">
        <v>46191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26" t="s">
        <v>27</v>
      </c>
      <c r="C3" s="27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28</v>
      </c>
      <c r="C5" s="4"/>
      <c r="D5" s="4"/>
      <c r="E5" s="4"/>
      <c r="F5" s="4"/>
      <c r="G5" s="4"/>
    </row>
    <row r="6" spans="1:7" x14ac:dyDescent="0.25">
      <c r="A6" s="5" t="s">
        <v>2</v>
      </c>
      <c r="B6" s="22">
        <v>2267</v>
      </c>
      <c r="C6" s="4" t="s">
        <v>29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39" t="s">
        <v>20</v>
      </c>
      <c r="C8" s="40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113.25" customHeight="1" thickBot="1" x14ac:dyDescent="0.3">
      <c r="A11" s="28" t="s">
        <v>32</v>
      </c>
      <c r="B11" s="29"/>
      <c r="C11" s="29"/>
      <c r="D11" s="29"/>
      <c r="E11" s="29"/>
      <c r="F11" s="29"/>
      <c r="G11" s="30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8" t="s">
        <v>3</v>
      </c>
      <c r="B14" s="43" t="s">
        <v>19</v>
      </c>
      <c r="C14" s="43"/>
      <c r="D14" s="43"/>
      <c r="E14" s="43"/>
      <c r="F14" s="9" t="s">
        <v>8</v>
      </c>
      <c r="G14" s="10" t="s">
        <v>1</v>
      </c>
    </row>
    <row r="15" spans="1:7" ht="32.25" customHeight="1" x14ac:dyDescent="0.25">
      <c r="A15" s="11" t="s">
        <v>21</v>
      </c>
      <c r="B15" s="46" t="s">
        <v>22</v>
      </c>
      <c r="C15" s="46"/>
      <c r="D15" s="46"/>
      <c r="E15" s="46"/>
      <c r="F15" s="25">
        <f>B6*1.4/1000*0.845*42.7</f>
        <v>114.5154647</v>
      </c>
      <c r="G15" s="12" t="s">
        <v>23</v>
      </c>
    </row>
    <row r="16" spans="1:7" ht="45" customHeight="1" x14ac:dyDescent="0.25">
      <c r="A16" s="19" t="s">
        <v>9</v>
      </c>
      <c r="B16" s="44" t="s">
        <v>18</v>
      </c>
      <c r="C16" s="44"/>
      <c r="D16" s="44"/>
      <c r="E16" s="44"/>
      <c r="F16" s="24">
        <f>B6*50/1000</f>
        <v>113.35</v>
      </c>
      <c r="G16" s="20" t="s">
        <v>25</v>
      </c>
    </row>
    <row r="17" spans="1:7" ht="32.25" customHeight="1" thickBot="1" x14ac:dyDescent="0.3">
      <c r="A17" s="7" t="s">
        <v>20</v>
      </c>
      <c r="B17" s="45" t="s">
        <v>31</v>
      </c>
      <c r="C17" s="45"/>
      <c r="D17" s="45"/>
      <c r="E17" s="45"/>
      <c r="F17" s="23">
        <f>B6</f>
        <v>2267</v>
      </c>
      <c r="G17" s="13" t="s">
        <v>10</v>
      </c>
    </row>
    <row r="18" spans="1:7" x14ac:dyDescent="0.25">
      <c r="A18" s="4"/>
      <c r="B18" s="4"/>
      <c r="C18" s="4"/>
      <c r="D18" s="4"/>
      <c r="E18" s="4"/>
      <c r="F18" s="4"/>
      <c r="G18" s="4"/>
    </row>
    <row r="19" spans="1:7" ht="15.75" thickBot="1" x14ac:dyDescent="0.3">
      <c r="A19" s="5" t="s">
        <v>11</v>
      </c>
      <c r="B19" s="4"/>
      <c r="C19" s="4"/>
      <c r="D19" s="4"/>
      <c r="E19" s="4"/>
      <c r="F19" s="4"/>
      <c r="G19" s="4"/>
    </row>
    <row r="20" spans="1:7" ht="47.25" thickBot="1" x14ac:dyDescent="0.4">
      <c r="A20" s="8" t="s">
        <v>3</v>
      </c>
      <c r="B20" s="14" t="s">
        <v>16</v>
      </c>
      <c r="C20" s="14" t="s">
        <v>13</v>
      </c>
      <c r="D20" s="41" t="s">
        <v>14</v>
      </c>
      <c r="E20" s="41"/>
      <c r="F20" s="41" t="s">
        <v>15</v>
      </c>
      <c r="G20" s="42"/>
    </row>
    <row r="21" spans="1:7" x14ac:dyDescent="0.25">
      <c r="A21" s="11" t="s">
        <v>21</v>
      </c>
      <c r="B21" s="16">
        <v>11.8</v>
      </c>
      <c r="C21" s="16">
        <v>8.2900000000000001E-2</v>
      </c>
      <c r="D21" s="33">
        <v>1.9E-2</v>
      </c>
      <c r="E21" s="33"/>
      <c r="F21" s="33">
        <v>3.46</v>
      </c>
      <c r="G21" s="34"/>
    </row>
    <row r="22" spans="1:7" x14ac:dyDescent="0.25">
      <c r="A22" s="19" t="s">
        <v>9</v>
      </c>
      <c r="B22" s="15">
        <v>21.6</v>
      </c>
      <c r="C22" s="15">
        <v>0.96099999999999997</v>
      </c>
      <c r="D22" s="35">
        <v>5.7000000000000002E-2</v>
      </c>
      <c r="E22" s="35"/>
      <c r="F22" s="35">
        <v>6.81</v>
      </c>
      <c r="G22" s="36"/>
    </row>
    <row r="23" spans="1:7" ht="15.75" thickBot="1" x14ac:dyDescent="0.3">
      <c r="A23" s="7" t="s">
        <v>20</v>
      </c>
      <c r="B23" s="17">
        <v>14.7</v>
      </c>
      <c r="C23" s="17">
        <v>-0.80900000000000005</v>
      </c>
      <c r="D23" s="31">
        <v>3.0700000000000002E-2</v>
      </c>
      <c r="E23" s="31"/>
      <c r="F23" s="31">
        <v>7.98</v>
      </c>
      <c r="G23" s="37"/>
    </row>
    <row r="24" spans="1:7" ht="15.75" thickBot="1" x14ac:dyDescent="0.3">
      <c r="A24" s="8" t="s">
        <v>17</v>
      </c>
      <c r="B24" s="18">
        <v>48.1</v>
      </c>
      <c r="C24" s="18">
        <v>0.23499999999999999</v>
      </c>
      <c r="D24" s="32">
        <v>0.107</v>
      </c>
      <c r="E24" s="32"/>
      <c r="F24" s="32">
        <v>18.3</v>
      </c>
      <c r="G24" s="38"/>
    </row>
    <row r="25" spans="1:7" x14ac:dyDescent="0.25">
      <c r="A25" s="4"/>
      <c r="B25" s="4"/>
      <c r="C25" s="4"/>
      <c r="D25" s="4"/>
      <c r="E25" s="4"/>
      <c r="F25" s="4"/>
      <c r="G25" s="4"/>
    </row>
    <row r="26" spans="1:7" ht="15.75" thickBot="1" x14ac:dyDescent="0.3">
      <c r="A26" s="5" t="s">
        <v>12</v>
      </c>
      <c r="B26" s="4"/>
      <c r="C26" s="4"/>
      <c r="D26" s="4"/>
      <c r="E26" s="4"/>
      <c r="F26" s="4"/>
      <c r="G26" s="4"/>
    </row>
    <row r="27" spans="1:7" ht="114.75" customHeight="1" thickBot="1" x14ac:dyDescent="0.3">
      <c r="A27" s="28" t="s">
        <v>30</v>
      </c>
      <c r="B27" s="29"/>
      <c r="C27" s="29"/>
      <c r="D27" s="29"/>
      <c r="E27" s="29"/>
      <c r="F27" s="29"/>
      <c r="G27" s="30"/>
    </row>
  </sheetData>
  <mergeCells count="18">
    <mergeCell ref="B17:E17"/>
    <mergeCell ref="B15:E15"/>
    <mergeCell ref="B3:C3"/>
    <mergeCell ref="A27:G27"/>
    <mergeCell ref="D23:E23"/>
    <mergeCell ref="D24:E24"/>
    <mergeCell ref="F21:G21"/>
    <mergeCell ref="F22:G22"/>
    <mergeCell ref="F23:G23"/>
    <mergeCell ref="F24:G24"/>
    <mergeCell ref="B8:C8"/>
    <mergeCell ref="D20:E20"/>
    <mergeCell ref="F20:G20"/>
    <mergeCell ref="D21:E21"/>
    <mergeCell ref="D22:E22"/>
    <mergeCell ref="A11:G11"/>
    <mergeCell ref="B14:E14"/>
    <mergeCell ref="B16:E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UIC_LF_01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2026-06-18T17:49:39Z</dcterms:modified>
</cp:coreProperties>
</file>