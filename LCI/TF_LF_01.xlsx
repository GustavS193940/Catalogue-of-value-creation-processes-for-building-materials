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90EC58A-06AE-491D-9D1B-BE41888F923E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TF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<sst xmlns="http://schemas.openxmlformats.org/spreadsheetml/2006/main" count="38" uniqueCount="33">
  <si>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</si>
  <si>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</si>
  <si>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</si>
  <si>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</si>
  <si>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</si>
  <si>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</si>
  <si>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</si>
  <si>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</si>
  <si>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</si>
  <si>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</si>
  <si>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</si>
  <si>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</si>
  <si>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</si>
  <si>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</si>
  <si>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</si>
  <si>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</si>
  <si>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</si>
  <si>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</si>
  <si>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</si>
  <si>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</si>
  <si>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</si>
  <si>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</si>
  <si>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</si>
  <si>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</si>
  <si>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</si>
  <si>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</si>
  <si>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</si>
  <si>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Inert waste, for final disposal {RoW}| treatment of inert waste, inert material landfill | Cut-off, S</t>
  </si>
  <si>
    <t>tkm</t>
  </si>
  <si>
    <t>TF_LF_01 - Life Cycle Inventory</t>
  </si>
  <si>
    <t>Tile Floor</t>
  </si>
  <si>
    <t>Mass factor determined from BR18, appendix 2, table 7 ID #G1114, with 3.1 kg tile adhesive per m² floor.
Diesel density assumed to be 0.845 kg/L with an energy density of 42.7 MJ/kg.
[1] Miljøstyrelsen: https://www2.mst.dk/Udgiv/publikationer/2022/02/978-87-7038-353-0.pdf</t>
  </si>
  <si>
    <t>1 m² tile floor (including adhesive) is extracted from the building using diesel-driven machinery. Assumed diesel use of 1.4 L/t material based on a report from the Danish Environmental Protection Agency [1]. tile floor is transported 50 km by truck to a municipal landfill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</si>
</sst>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1" xfId="0" applyNumberFormat="1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5" zoomScaleNormal="100" workbookViewId="0">
      <selection activeCell="C24" sqref="C24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22" t="s">
        <v>26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30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f>20+3.1</f>
        <v>23.1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20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3" t="s">
        <v>32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19</v>
      </c>
      <c r="C14" s="36"/>
      <c r="D14" s="36"/>
      <c r="E14" s="36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39" t="s">
        <v>22</v>
      </c>
      <c r="C15" s="39"/>
      <c r="D15" s="39"/>
      <c r="E15" s="39"/>
      <c r="F15" s="25">
        <f>B6*1.4/1000*0.845*42.7</f>
        <v>1.16687571</v>
      </c>
      <c r="G15" s="13" t="s">
        <v>23</v>
      </c>
    </row>
    <row r="16" spans="1:7" ht="45" customHeight="1" x14ac:dyDescent="0.25">
      <c r="A16" s="20" t="s">
        <v>9</v>
      </c>
      <c r="B16" s="37" t="s">
        <v>18</v>
      </c>
      <c r="C16" s="37"/>
      <c r="D16" s="37"/>
      <c r="E16" s="37"/>
      <c r="F16" s="26">
        <f>B6*50/1000</f>
        <v>1.155</v>
      </c>
      <c r="G16" s="21" t="s">
        <v>28</v>
      </c>
    </row>
    <row r="17" spans="1:7" ht="32.25" customHeight="1" thickBot="1" x14ac:dyDescent="0.3">
      <c r="A17" s="8" t="s">
        <v>20</v>
      </c>
      <c r="B17" s="38" t="s">
        <v>27</v>
      </c>
      <c r="C17" s="38"/>
      <c r="D17" s="38"/>
      <c r="E17" s="38"/>
      <c r="F17" s="24">
        <f>B6</f>
        <v>23.1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16</v>
      </c>
      <c r="C20" s="15" t="s">
        <v>13</v>
      </c>
      <c r="D20" s="29" t="s">
        <v>14</v>
      </c>
      <c r="E20" s="29"/>
      <c r="F20" s="29" t="s">
        <v>15</v>
      </c>
      <c r="G20" s="30"/>
    </row>
    <row r="21" spans="1:7" x14ac:dyDescent="0.25">
      <c r="A21" s="12" t="s">
        <v>21</v>
      </c>
      <c r="B21" s="17">
        <v>0.12</v>
      </c>
      <c r="C21" s="17">
        <v>8.4400000000000002E-4</v>
      </c>
      <c r="D21" s="31">
        <v>1.93E-4</v>
      </c>
      <c r="E21" s="31"/>
      <c r="F21" s="31">
        <v>3.5299999999999998E-2</v>
      </c>
      <c r="G21" s="42"/>
    </row>
    <row r="22" spans="1:7" x14ac:dyDescent="0.25">
      <c r="A22" s="20" t="s">
        <v>9</v>
      </c>
      <c r="B22" s="16">
        <v>0.222</v>
      </c>
      <c r="C22" s="16">
        <v>9.8600000000000007E-3</v>
      </c>
      <c r="D22" s="32">
        <v>5.8500000000000002E-4</v>
      </c>
      <c r="E22" s="32"/>
      <c r="F22" s="32">
        <v>6.9900000000000004E-2</v>
      </c>
      <c r="G22" s="43"/>
    </row>
    <row r="23" spans="1:7" ht="15.75" thickBot="1" x14ac:dyDescent="0.3">
      <c r="A23" s="8" t="s">
        <v>20</v>
      </c>
      <c r="B23" s="18">
        <v>0.15</v>
      </c>
      <c r="C23" s="18">
        <v>-8.2400000000000008E-3</v>
      </c>
      <c r="D23" s="40">
        <v>3.1300000000000002E-4</v>
      </c>
      <c r="E23" s="40"/>
      <c r="F23" s="40">
        <v>8.1299999999999997E-2</v>
      </c>
      <c r="G23" s="44"/>
    </row>
    <row r="24" spans="1:7" ht="15.75" thickBot="1" x14ac:dyDescent="0.3">
      <c r="A24" s="9" t="s">
        <v>17</v>
      </c>
      <c r="B24" s="19">
        <v>0.49199999999999999</v>
      </c>
      <c r="C24" s="19">
        <v>2.47E-3</v>
      </c>
      <c r="D24" s="41">
        <v>1.09E-3</v>
      </c>
      <c r="E24" s="41"/>
      <c r="F24" s="41">
        <v>0.187</v>
      </c>
      <c r="G24" s="45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3" t="s">
        <v>31</v>
      </c>
      <c r="B27" s="34"/>
      <c r="C27" s="34"/>
      <c r="D27" s="34"/>
      <c r="E27" s="34"/>
      <c r="F27" s="34"/>
      <c r="G27" s="35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TF_LF_01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2026-06-21T13:29:42Z</dcterms:modified>
</cp:coreProperties>
</file>