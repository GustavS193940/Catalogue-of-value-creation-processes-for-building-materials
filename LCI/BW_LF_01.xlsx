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F4DF9C7-638C-40DC-A82D-67774AD5DBF5}" xr6:coauthVersionLast="47" xr6:coauthVersionMax="47" xr10:uidLastSave="{00000000-0000-0000-0000-000000000000}"/>
  <bookViews>
    <workbookView xWindow="0" yWindow="300" windowWidth="29040" windowHeight="15840" xr2:uid="{DB1217F5-3EDD-4456-A020-305ADC7C8E64}"/>
  </bookViews>
  <sheets>
    <sheet name="B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B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<sst xmlns="http://schemas.openxmlformats.org/spreadsheetml/2006/main" count="38" uniqueCount="33">
  <si>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</si>
  <si>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</si>
  <si>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</si>
  <si>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</si>
  <si>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</si>
  <si>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</si>
  <si>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</si>
  <si>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</si>
  <si>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</si>
  <si>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</si>
  <si>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</si>
  <si>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</si>
  <si>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</si>
  <si>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</si>
  <si>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</si>
  <si>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</si>
  <si>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</si>
  <si>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</si>
  <si>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</si>
  <si>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</si>
  <si>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</si>
  <si>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</si>
  <si>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</si>
  <si>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</si>
  <si>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</si>
  <si>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</si>
  <si>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</si>
  <si>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BW_LF_01 - Life Cycle Inventory</t>
  </si>
  <si>
    <t>Brick Wall</t>
  </si>
  <si>
    <t>Mass factor determined from BR18, appendix 2, table 7 ID #D1508, assumption of 0.084 m³ of bricks (1800 kg/m³) with 63 kg of mortar per m² wall. Rounded to 3 significant figures.
Diesel density assumed to be 0.845 kg/L with an energy density of 42.7 MJ/kg.
[1] Miljøstyrelsen: https://www2.mst.dk/Udgiv/publikationer/2022/02/978-87-7038-353-0.pdf</t>
  </si>
  <si>
    <t>Inert waste, for final disposal {RoW}| treatment of inert waste, inert material landfill | Cut-off, S</t>
  </si>
  <si>
    <t>tkm</t>
  </si>
  <si>
    <t>1 m² brick wall (including mortar) is extracted from the building using diesel-driven machinery. Assumed diesel use of 1.4 L/t material based on a report from the Danish Environmental Protection Agency [1]. The brick and mortar are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</si>
</sst>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5" zoomScaleNormal="100" workbookViewId="0">
      <selection activeCell="A27" sqref="A27:G2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26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0.084*1800+63</f>
        <v>214.20000000000002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20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32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19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9" t="s">
        <v>22</v>
      </c>
      <c r="C15" s="39"/>
      <c r="D15" s="39"/>
      <c r="E15" s="39"/>
      <c r="F15" s="24">
        <f>B6*1.4/1000*0.845*42.7</f>
        <v>10.82012022</v>
      </c>
      <c r="G15" s="13" t="s">
        <v>23</v>
      </c>
    </row>
    <row r="16" spans="1:7" ht="45" customHeight="1" x14ac:dyDescent="0.25">
      <c r="A16" s="20" t="s">
        <v>9</v>
      </c>
      <c r="B16" s="37" t="s">
        <v>18</v>
      </c>
      <c r="C16" s="37"/>
      <c r="D16" s="37"/>
      <c r="E16" s="37"/>
      <c r="F16" s="25">
        <f>B6*50/1000</f>
        <v>10.71</v>
      </c>
      <c r="G16" s="21" t="s">
        <v>31</v>
      </c>
    </row>
    <row r="17" spans="1:7" ht="32.25" customHeight="1" thickBot="1" x14ac:dyDescent="0.3">
      <c r="A17" s="8" t="s">
        <v>20</v>
      </c>
      <c r="B17" s="38" t="s">
        <v>30</v>
      </c>
      <c r="C17" s="38"/>
      <c r="D17" s="38"/>
      <c r="E17" s="38"/>
      <c r="F17" s="26">
        <f>B6</f>
        <v>214.20000000000002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9" t="s">
        <v>14</v>
      </c>
      <c r="E20" s="29"/>
      <c r="F20" s="29" t="s">
        <v>15</v>
      </c>
      <c r="G20" s="30"/>
    </row>
    <row r="21" spans="1:7" x14ac:dyDescent="0.25">
      <c r="A21" s="12" t="s">
        <v>21</v>
      </c>
      <c r="B21" s="17">
        <v>1.1100000000000001</v>
      </c>
      <c r="C21" s="17">
        <v>7.79E-3</v>
      </c>
      <c r="D21" s="31">
        <v>1.7899999999999999E-3</v>
      </c>
      <c r="E21" s="31"/>
      <c r="F21" s="31">
        <v>0.32500000000000001</v>
      </c>
      <c r="G21" s="42"/>
    </row>
    <row r="22" spans="1:7" x14ac:dyDescent="0.25">
      <c r="A22" s="20" t="s">
        <v>9</v>
      </c>
      <c r="B22" s="16">
        <v>2.0499999999999998</v>
      </c>
      <c r="C22" s="16">
        <v>9.0999999999999998E-2</v>
      </c>
      <c r="D22" s="32">
        <v>5.3899999999999998E-3</v>
      </c>
      <c r="E22" s="32"/>
      <c r="F22" s="32">
        <v>0.64500000000000002</v>
      </c>
      <c r="G22" s="43"/>
    </row>
    <row r="23" spans="1:7" ht="15.75" thickBot="1" x14ac:dyDescent="0.3">
      <c r="A23" s="8" t="s">
        <v>20</v>
      </c>
      <c r="B23" s="18">
        <v>1.39</v>
      </c>
      <c r="C23" s="18">
        <v>-7.6399999999999996E-2</v>
      </c>
      <c r="D23" s="40">
        <v>2.8999999999999998E-3</v>
      </c>
      <c r="E23" s="40"/>
      <c r="F23" s="40">
        <v>0.754</v>
      </c>
      <c r="G23" s="44"/>
    </row>
    <row r="24" spans="1:7" ht="15.75" thickBot="1" x14ac:dyDescent="0.3">
      <c r="A24" s="9" t="s">
        <v>17</v>
      </c>
      <c r="B24" s="19">
        <v>4.54</v>
      </c>
      <c r="C24" s="19">
        <v>2.24E-2</v>
      </c>
      <c r="D24" s="41">
        <v>1.01E-2</v>
      </c>
      <c r="E24" s="41"/>
      <c r="F24" s="41">
        <v>1.72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3" t="s">
        <v>29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2026-06-21T11:33:48Z</dcterms:modified>
</cp:coreProperties>
</file>