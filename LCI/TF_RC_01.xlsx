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377FFD7-3776-4A05-901C-998E935916E5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B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5" i="1" l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<sst xmlns="http://schemas.openxmlformats.org/spreadsheetml/2006/main" count="42" uniqueCount="36">
  <si>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</si>
  <si>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</si>
  <si>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</si>
  <si>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</si>
  <si>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</si>
  <si>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</si>
  <si>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</si>
  <si>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</si>
  <si>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</si>
  <si>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</si>
  <si>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</si>
  <si>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</si>
  <si>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</si>
  <si>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</si>
  <si>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</si>
  <si>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</si>
  <si>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</si>
  <si>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</si>
  <si>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</si>
  <si>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</si>
  <si>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</si>
  <si>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</si>
  <si>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</si>
  <si>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</si>
  <si>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</si>
  <si>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</si>
  <si>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tkm</t>
  </si>
  <si>
    <t>Recycling (Road Fill)</t>
  </si>
  <si>
    <t>Crushing</t>
  </si>
  <si>
    <t>Rock crushing {RER}| rock crushing | Cut-off, S</t>
  </si>
  <si>
    <t>Avoided gravel</t>
  </si>
  <si>
    <t>Gravel, crushed {RoW}| market for gravel, crushed | Cut-off, S</t>
  </si>
  <si>
    <t>Tile Floor</t>
  </si>
  <si>
    <t>TF_RC_01 - Life Cycle Inventory</t>
  </si>
  <si>
    <t>1 m² tile floor (including adhesive) is extracted from the building using diesel-driven machinery. Assumed diesel use of 1.4 L/t material based on a report from the Danish Environmental Protection Agency [1]. The tile floor is transported 100 km by truck to a facility in Denmark where it is crushed into rubble, which replaces gravel in road fill.</t>
  </si>
  <si>
    <t>Mass factor determined from BR18, appendix 2, table 7 ID #G1114, with 3.1 kg tile adhesive per m² floor.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</si>
</sst>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64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topLeftCell="A11" zoomScaleNormal="100" workbookViewId="0">
      <selection activeCell="D26" sqref="D26:E2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33</v>
      </c>
      <c r="B1" s="2"/>
      <c r="C1" s="22" t="s">
        <v>25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32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23</v>
      </c>
      <c r="C5" s="4"/>
      <c r="D5" s="4"/>
      <c r="E5" s="4"/>
      <c r="F5" s="4"/>
      <c r="G5" s="4"/>
    </row>
    <row r="6" spans="1:7" x14ac:dyDescent="0.25">
      <c r="A6" s="5" t="s">
        <v>2</v>
      </c>
      <c r="B6" s="45">
        <f>20+3.1</f>
        <v>23.1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6" t="s">
        <v>27</v>
      </c>
      <c r="C8" s="3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5" t="s">
        <v>34</v>
      </c>
      <c r="B11" s="26"/>
      <c r="C11" s="26"/>
      <c r="D11" s="26"/>
      <c r="E11" s="26"/>
      <c r="F11" s="26"/>
      <c r="G11" s="2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0" t="s">
        <v>19</v>
      </c>
      <c r="C14" s="40"/>
      <c r="D14" s="40"/>
      <c r="E14" s="40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3" t="s">
        <v>21</v>
      </c>
      <c r="C15" s="43"/>
      <c r="D15" s="43"/>
      <c r="E15" s="43"/>
      <c r="F15" s="46">
        <f>B6*1.4/1000*0.845*42.7</f>
        <v>1.16687571</v>
      </c>
      <c r="G15" s="13" t="s">
        <v>22</v>
      </c>
    </row>
    <row r="16" spans="1:7" ht="45" customHeight="1" x14ac:dyDescent="0.25">
      <c r="A16" s="20" t="s">
        <v>9</v>
      </c>
      <c r="B16" s="41" t="s">
        <v>18</v>
      </c>
      <c r="C16" s="41"/>
      <c r="D16" s="41"/>
      <c r="E16" s="41"/>
      <c r="F16" s="47">
        <f>B6*100/1000</f>
        <v>2.31</v>
      </c>
      <c r="G16" s="21" t="s">
        <v>26</v>
      </c>
    </row>
    <row r="17" spans="1:7" x14ac:dyDescent="0.25">
      <c r="A17" s="23" t="s">
        <v>28</v>
      </c>
      <c r="B17" s="44" t="s">
        <v>29</v>
      </c>
      <c r="C17" s="44"/>
      <c r="D17" s="44"/>
      <c r="E17" s="44"/>
      <c r="F17" s="48">
        <f>B6</f>
        <v>23.1</v>
      </c>
      <c r="G17" s="24" t="s">
        <v>10</v>
      </c>
    </row>
    <row r="18" spans="1:7" ht="32.25" customHeight="1" thickBot="1" x14ac:dyDescent="0.3">
      <c r="A18" s="8" t="s">
        <v>30</v>
      </c>
      <c r="B18" s="42" t="s">
        <v>31</v>
      </c>
      <c r="C18" s="42"/>
      <c r="D18" s="42"/>
      <c r="E18" s="42"/>
      <c r="F18" s="49">
        <f>-B6</f>
        <v>-23.1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16</v>
      </c>
      <c r="C21" s="15" t="s">
        <v>13</v>
      </c>
      <c r="D21" s="38" t="s">
        <v>14</v>
      </c>
      <c r="E21" s="38"/>
      <c r="F21" s="38" t="s">
        <v>15</v>
      </c>
      <c r="G21" s="39"/>
    </row>
    <row r="22" spans="1:7" x14ac:dyDescent="0.25">
      <c r="A22" s="12" t="s">
        <v>20</v>
      </c>
      <c r="B22" s="17">
        <v>0.12</v>
      </c>
      <c r="C22" s="17">
        <v>8.4400000000000002E-4</v>
      </c>
      <c r="D22" s="30">
        <v>1.93E-4</v>
      </c>
      <c r="E22" s="30"/>
      <c r="F22" s="30">
        <v>3.5299999999999998E-2</v>
      </c>
      <c r="G22" s="31"/>
    </row>
    <row r="23" spans="1:7" x14ac:dyDescent="0.25">
      <c r="A23" s="20" t="s">
        <v>9</v>
      </c>
      <c r="B23" s="16">
        <v>0.442</v>
      </c>
      <c r="C23" s="16">
        <v>1.9599999999999999E-2</v>
      </c>
      <c r="D23" s="32">
        <v>1.16E-3</v>
      </c>
      <c r="E23" s="32"/>
      <c r="F23" s="32">
        <v>0.13900000000000001</v>
      </c>
      <c r="G23" s="33"/>
    </row>
    <row r="24" spans="1:7" x14ac:dyDescent="0.25">
      <c r="A24" s="23" t="s">
        <v>28</v>
      </c>
      <c r="B24" s="16">
        <v>6.2100000000000002E-4</v>
      </c>
      <c r="C24" s="16">
        <v>1.8699999999999999E-4</v>
      </c>
      <c r="D24" s="32">
        <v>1.98E-5</v>
      </c>
      <c r="E24" s="32"/>
      <c r="F24" s="32">
        <v>1.6999999999999999E-3</v>
      </c>
      <c r="G24" s="33"/>
    </row>
    <row r="25" spans="1:7" ht="15.75" thickBot="1" x14ac:dyDescent="0.3">
      <c r="A25" s="8" t="s">
        <v>30</v>
      </c>
      <c r="B25" s="18">
        <v>-0.43099999999999999</v>
      </c>
      <c r="C25" s="18">
        <v>-5.2499999999999998E-2</v>
      </c>
      <c r="D25" s="28">
        <v>-1.9499999999999999E-3</v>
      </c>
      <c r="E25" s="28"/>
      <c r="F25" s="28">
        <v>-0.12</v>
      </c>
      <c r="G25" s="34"/>
    </row>
    <row r="26" spans="1:7" ht="15.75" thickBot="1" x14ac:dyDescent="0.3">
      <c r="A26" s="9" t="s">
        <v>17</v>
      </c>
      <c r="B26" s="19">
        <v>0.13700000000000001</v>
      </c>
      <c r="C26" s="19">
        <v>-3.1800000000000002E-2</v>
      </c>
      <c r="D26" s="29">
        <v>-5.7499999999999999E-4</v>
      </c>
      <c r="E26" s="29"/>
      <c r="F26" s="29">
        <v>5.5800000000000002E-2</v>
      </c>
      <c r="G26" s="35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94.5" customHeight="1" thickBot="1" x14ac:dyDescent="0.3">
      <c r="A29" s="25" t="s">
        <v>35</v>
      </c>
      <c r="B29" s="26"/>
      <c r="C29" s="26"/>
      <c r="D29" s="26"/>
      <c r="E29" s="26"/>
      <c r="F29" s="26"/>
      <c r="G29" s="27"/>
    </row>
  </sheetData>
  <mergeCells count="20"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2026-06-21T13:30:40Z</dcterms:modified>
</cp:coreProperties>
</file>