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B4534C11-F4DF-48ED-BCF1-1543FDD7A1B4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WAW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<sst xmlns="http://schemas.openxmlformats.org/spreadsheetml/2006/main" count="38" uniqueCount="33">
  <si>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</si>
  <si>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</si>
  <si>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</si>
  <si>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</si>
  <si>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</si>
  <si>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</si>
  <si>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</si>
  <si>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</si>
  <si>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</si>
  <si>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</si>
  <si>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</si>
  <si>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</si>
  <si>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</si>
  <si>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</si>
  <si>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</si>
  <si>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</si>
  <si>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</si>
  <si>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</si>
  <si>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</si>
  <si>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</si>
  <si>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</si>
  <si>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</si>
  <si>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</si>
  <si>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</si>
  <si>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</si>
  <si>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</si>
  <si>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</si>
  <si>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tkm</t>
  </si>
  <si>
    <t>Inert waste, for final disposal {RoW}| treatment of inert waste, inert material landfill | Cut-off, S</t>
  </si>
  <si>
    <t>WAW_LF_01 - Life Cycle Inventory</t>
  </si>
  <si>
    <t>Wood/Aluminium Window</t>
  </si>
  <si>
    <t>1 m² wood/aluminium frame window is extracted from the building using diesel-driven machinery. Assumed diesel use of 1.4 L/t material based on a report from the Danish Environmental Protection Agency (2022) [1]. The window is transported 50 km by truck to a municipal landfill site.</t>
  </si>
  <si>
    <t>Mass factor determined from Danish industry EPD for wood/aluminium frame windows MD-22040-DA [2]
Diesel density assumed to be 0.845 kg/L with an energy density of 42.7 MJ/kg.
[1] Miljøstyrelsen (2022): https://www2.mst.dk/Udgiv/publikationer/2022/02/978-87-7038-353-0.pdf
[2] MD-22040-DA: https://www.epddanmark.dk/media/m2bfi4ei/md-22040-da.pdf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</si>
</sst>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2" fontId="0" fillId="3" borderId="8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3" sqref="A3:C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29</v>
      </c>
      <c r="B1" s="2"/>
      <c r="C1" s="22" t="s">
        <v>26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6" t="s">
        <v>30</v>
      </c>
      <c r="C3" s="27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v>36.4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6" t="s">
        <v>20</v>
      </c>
      <c r="C8" s="2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2" t="s">
        <v>31</v>
      </c>
      <c r="B11" s="33"/>
      <c r="C11" s="33"/>
      <c r="D11" s="33"/>
      <c r="E11" s="33"/>
      <c r="F11" s="33"/>
      <c r="G11" s="3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5" t="s">
        <v>19</v>
      </c>
      <c r="C14" s="35"/>
      <c r="D14" s="35"/>
      <c r="E14" s="35"/>
      <c r="F14" s="9" t="s">
        <v>8</v>
      </c>
      <c r="G14" s="10" t="s">
        <v>1</v>
      </c>
    </row>
    <row r="15" spans="1:7" ht="32.25" customHeight="1" x14ac:dyDescent="0.25">
      <c r="A15" s="11" t="s">
        <v>21</v>
      </c>
      <c r="B15" s="38" t="s">
        <v>22</v>
      </c>
      <c r="C15" s="38"/>
      <c r="D15" s="38"/>
      <c r="E15" s="38"/>
      <c r="F15" s="21">
        <f>B6*1.4/1000*0.845*42.7</f>
        <v>1.8387132399999999</v>
      </c>
      <c r="G15" s="12" t="s">
        <v>23</v>
      </c>
    </row>
    <row r="16" spans="1:7" ht="45" customHeight="1" x14ac:dyDescent="0.25">
      <c r="A16" s="19" t="s">
        <v>9</v>
      </c>
      <c r="B16" s="36" t="s">
        <v>18</v>
      </c>
      <c r="C16" s="36"/>
      <c r="D16" s="36"/>
      <c r="E16" s="36"/>
      <c r="F16" s="24">
        <f>B6*50/1000</f>
        <v>1.82</v>
      </c>
      <c r="G16" s="20" t="s">
        <v>27</v>
      </c>
    </row>
    <row r="17" spans="1:7" ht="32.25" customHeight="1" thickBot="1" x14ac:dyDescent="0.3">
      <c r="A17" s="7" t="s">
        <v>20</v>
      </c>
      <c r="B17" s="37" t="s">
        <v>28</v>
      </c>
      <c r="C17" s="37"/>
      <c r="D17" s="37"/>
      <c r="E17" s="37"/>
      <c r="F17" s="25">
        <f>B6</f>
        <v>36.4</v>
      </c>
      <c r="G17" s="13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4" t="s">
        <v>16</v>
      </c>
      <c r="C20" s="14" t="s">
        <v>13</v>
      </c>
      <c r="D20" s="28" t="s">
        <v>14</v>
      </c>
      <c r="E20" s="28"/>
      <c r="F20" s="28" t="s">
        <v>15</v>
      </c>
      <c r="G20" s="29"/>
    </row>
    <row r="21" spans="1:7" x14ac:dyDescent="0.25">
      <c r="A21" s="11" t="s">
        <v>21</v>
      </c>
      <c r="B21" s="16">
        <v>0.189</v>
      </c>
      <c r="C21" s="16">
        <v>1.33E-3</v>
      </c>
      <c r="D21" s="30">
        <v>3.0400000000000002E-4</v>
      </c>
      <c r="E21" s="30"/>
      <c r="F21" s="30">
        <v>5.5399999999999998E-2</v>
      </c>
      <c r="G21" s="41"/>
    </row>
    <row r="22" spans="1:7" x14ac:dyDescent="0.25">
      <c r="A22" s="19" t="s">
        <v>9</v>
      </c>
      <c r="B22" s="15">
        <v>0.34799999999999998</v>
      </c>
      <c r="C22" s="15">
        <v>1.55E-2</v>
      </c>
      <c r="D22" s="31">
        <v>9.1799999999999998E-4</v>
      </c>
      <c r="E22" s="31"/>
      <c r="F22" s="31">
        <v>0.11</v>
      </c>
      <c r="G22" s="42"/>
    </row>
    <row r="23" spans="1:7" ht="15.75" thickBot="1" x14ac:dyDescent="0.3">
      <c r="A23" s="7" t="s">
        <v>20</v>
      </c>
      <c r="B23" s="17">
        <v>0.23499999999999999</v>
      </c>
      <c r="C23" s="17">
        <v>-1.29E-2</v>
      </c>
      <c r="D23" s="39">
        <v>4.8999999999999998E-4</v>
      </c>
      <c r="E23" s="39"/>
      <c r="F23" s="39">
        <v>0.127</v>
      </c>
      <c r="G23" s="43"/>
    </row>
    <row r="24" spans="1:7" ht="15.75" thickBot="1" x14ac:dyDescent="0.3">
      <c r="A24" s="8" t="s">
        <v>17</v>
      </c>
      <c r="B24" s="18">
        <v>0.77100000000000002</v>
      </c>
      <c r="C24" s="18">
        <v>3.8899999999999998E-3</v>
      </c>
      <c r="D24" s="40">
        <v>1.7099999999999999E-3</v>
      </c>
      <c r="E24" s="40"/>
      <c r="F24" s="40">
        <v>0.29299999999999998</v>
      </c>
      <c r="G24" s="4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2" t="s">
        <v>32</v>
      </c>
      <c r="B27" s="33"/>
      <c r="C27" s="33"/>
      <c r="D27" s="33"/>
      <c r="E27" s="33"/>
      <c r="F27" s="33"/>
      <c r="G27" s="34"/>
    </row>
  </sheetData>
  <mergeCells count="18">
    <mergeCell ref="A27:G27"/>
    <mergeCell ref="D23:E23"/>
    <mergeCell ref="D24:E24"/>
    <mergeCell ref="F21:G21"/>
    <mergeCell ref="F22:G22"/>
    <mergeCell ref="F23:G23"/>
    <mergeCell ref="F24:G24"/>
    <mergeCell ref="D22:E22"/>
    <mergeCell ref="A11:G11"/>
    <mergeCell ref="B14:E14"/>
    <mergeCell ref="B16:E16"/>
    <mergeCell ref="B17:E17"/>
    <mergeCell ref="B15:E15"/>
    <mergeCell ref="B3:C3"/>
    <mergeCell ref="B8:C8"/>
    <mergeCell ref="D20:E20"/>
    <mergeCell ref="F20:G20"/>
    <mergeCell ref="D21:E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WAW_LF_01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2026-06-21T19:29:32Z</dcterms:modified>
</cp:coreProperties>
</file>