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10C8E1F7-808A-464D-A3E6-3727AB93B0CD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CLT_IN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/>
  <c r="F17" i="1"/>
</calcChain>
</file>

<file path=xl/sharedStrings.xml><?xml version="1.0" encoding="utf-8"?>
<sst xmlns="http://schemas.openxmlformats.org/spreadsheetml/2006/main" count="48" uniqueCount="39">
  <si>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</si>
  <si>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</si>
  <si>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</si>
  <si>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</si>
  <si>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</si>
  <si>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</si>
  <si>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</si>
  <si>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</si>
  <si>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</si>
  <si>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</si>
  <si>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</si>
  <si>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</si>
  <si>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</si>
  <si>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</si>
  <si>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</si>
  <si>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</si>
  <si>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</si>
  <si>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</si>
  <si>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</si>
  <si>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</si>
  <si>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</si>
  <si>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</si>
  <si>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Incineration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</si>
  <si>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</si>
  <si>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</si>
  <si>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</si>
  <si>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</si>
  <si>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</si>
  <si>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</si>
  <si>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</si>
  <si>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</si>
  <si>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</si>
  <si>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GJ</t>
  </si>
  <si>
    <t>Page 2 of 2</t>
  </si>
  <si>
    <t>Cross Laminated Timber (CLT)</t>
  </si>
  <si>
    <t>CLT_IN_01 - Life Cycle Inventory</t>
  </si>
  <si>
    <t>Waste wood, untreated {GLO}| treatment of waste wood, untreated, municipal incineration | Cut-off, S</t>
  </si>
  <si>
    <t>1 m³ of CLT is extracted from the building diesel-driven machinery. Assumed diesel use of 1.4 L/t material based on a report from the Danish Environmental Protection Agency (2022) [1]. The CLT is transported 50 km by truck to a municipal incineration plant where it is incinerated for energy recovery. Heat recovery of 1460 MJ/m³ CLT and electricity recovery of 724 MJ/m³ CLT from Danish industry EPD for CLT [2].</t>
  </si>
  <si>
    <t>Mass factor determined from Danish industry EPD for CLT MD-25107-EN [2]
Diesel density assumed to be 0.845 kg/L with an energy density of 42.7 MJ/kg.
[1] Miljøstyrelsen (2022): https://www2.mst.dk/Udgiv/publikationer/2022/02/978-87-7038-353-0.pdf
[2] MD-25107-EN: https://www.epddanmark.dk/media/kn5kwbzj/md-25107-en.pdf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</si>
</sst>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vertical="center"/>
    </xf>
    <xf numFmtId="2" fontId="0" fillId="3" borderId="15" xfId="0" applyNumberFormat="1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0" fontId="0" fillId="3" borderId="12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8" xfId="0" applyFill="1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2"/>
  <sheetViews>
    <sheetView tabSelected="1" view="pageLayout" topLeftCell="A2" zoomScaleNormal="100" workbookViewId="0">
      <selection activeCell="F18" sqref="F18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35</v>
      </c>
      <c r="B1" s="2"/>
      <c r="C1" s="24" t="s">
        <v>29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2" t="s">
        <v>34</v>
      </c>
      <c r="C3" s="33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27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469</v>
      </c>
      <c r="C6" s="4" t="s">
        <v>28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2" t="s">
        <v>22</v>
      </c>
      <c r="C8" s="33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7.25" customHeight="1" thickBot="1" x14ac:dyDescent="0.3">
      <c r="A11" s="34" t="s">
        <v>37</v>
      </c>
      <c r="B11" s="35"/>
      <c r="C11" s="35"/>
      <c r="D11" s="35"/>
      <c r="E11" s="35"/>
      <c r="F11" s="35"/>
      <c r="G11" s="36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37" t="s">
        <v>19</v>
      </c>
      <c r="C14" s="37"/>
      <c r="D14" s="37"/>
      <c r="E14" s="37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38" t="s">
        <v>31</v>
      </c>
      <c r="C15" s="38"/>
      <c r="D15" s="38"/>
      <c r="E15" s="38"/>
      <c r="F15" s="21">
        <f>B6*1.4/1000*0.845*42.7</f>
        <v>23.6911129</v>
      </c>
      <c r="G15" s="12" t="s">
        <v>26</v>
      </c>
    </row>
    <row r="16" spans="1:7" ht="45" customHeight="1" x14ac:dyDescent="0.25">
      <c r="A16" s="19" t="s">
        <v>9</v>
      </c>
      <c r="B16" s="31" t="s">
        <v>18</v>
      </c>
      <c r="C16" s="31"/>
      <c r="D16" s="31"/>
      <c r="E16" s="31"/>
      <c r="F16" s="23">
        <f>B6*50/1000</f>
        <v>23.45</v>
      </c>
      <c r="G16" s="20" t="s">
        <v>30</v>
      </c>
    </row>
    <row r="17" spans="1:7" ht="30.75" customHeight="1" x14ac:dyDescent="0.25">
      <c r="A17" s="19" t="s">
        <v>22</v>
      </c>
      <c r="B17" s="31" t="s">
        <v>36</v>
      </c>
      <c r="C17" s="31"/>
      <c r="D17" s="31"/>
      <c r="E17" s="31"/>
      <c r="F17" s="22">
        <f>B6</f>
        <v>469</v>
      </c>
      <c r="G17" s="20" t="s">
        <v>10</v>
      </c>
    </row>
    <row r="18" spans="1:7" ht="45.75" customHeight="1" x14ac:dyDescent="0.25">
      <c r="A18" s="19" t="s">
        <v>24</v>
      </c>
      <c r="B18" s="31" t="s">
        <v>25</v>
      </c>
      <c r="C18" s="31"/>
      <c r="D18" s="31"/>
      <c r="E18" s="31"/>
      <c r="F18" s="26">
        <v>-1.46</v>
      </c>
      <c r="G18" s="20" t="s">
        <v>32</v>
      </c>
    </row>
    <row r="19" spans="1:7" ht="15.75" customHeight="1" thickBot="1" x14ac:dyDescent="0.3">
      <c r="A19" s="7" t="s">
        <v>23</v>
      </c>
      <c r="B19" s="30" t="s">
        <v>21</v>
      </c>
      <c r="C19" s="30"/>
      <c r="D19" s="30"/>
      <c r="E19" s="30"/>
      <c r="F19" s="25">
        <v>-724</v>
      </c>
      <c r="G19" s="13" t="s">
        <v>26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8" t="s">
        <v>3</v>
      </c>
      <c r="B22" s="14" t="s">
        <v>16</v>
      </c>
      <c r="C22" s="14" t="s">
        <v>13</v>
      </c>
      <c r="D22" s="27" t="s">
        <v>14</v>
      </c>
      <c r="E22" s="27"/>
      <c r="F22" s="27" t="s">
        <v>15</v>
      </c>
      <c r="G22" s="28"/>
    </row>
    <row r="23" spans="1:7" x14ac:dyDescent="0.25">
      <c r="A23" s="11" t="s">
        <v>20</v>
      </c>
      <c r="B23" s="16">
        <v>2.4300000000000002</v>
      </c>
      <c r="C23" s="16">
        <v>1.7100000000000001E-2</v>
      </c>
      <c r="D23" s="29">
        <v>3.9199999999999999E-3</v>
      </c>
      <c r="E23" s="29"/>
      <c r="F23" s="29">
        <v>0.71399999999999997</v>
      </c>
      <c r="G23" s="44"/>
    </row>
    <row r="24" spans="1:7" x14ac:dyDescent="0.25">
      <c r="A24" s="19" t="s">
        <v>9</v>
      </c>
      <c r="B24" s="15">
        <v>4.49</v>
      </c>
      <c r="C24" s="15">
        <v>0.2</v>
      </c>
      <c r="D24" s="45">
        <v>1.18E-2</v>
      </c>
      <c r="E24" s="45"/>
      <c r="F24" s="45">
        <v>1.42</v>
      </c>
      <c r="G24" s="46"/>
    </row>
    <row r="25" spans="1:7" x14ac:dyDescent="0.25">
      <c r="A25" s="19" t="s">
        <v>22</v>
      </c>
      <c r="B25" s="15">
        <v>7.4</v>
      </c>
      <c r="C25" s="15">
        <v>0.121</v>
      </c>
      <c r="D25" s="45">
        <v>6.2399999999999997E-2</v>
      </c>
      <c r="E25" s="45"/>
      <c r="F25" s="45">
        <v>1.51</v>
      </c>
      <c r="G25" s="46"/>
    </row>
    <row r="26" spans="1:7" x14ac:dyDescent="0.25">
      <c r="A26" s="19" t="s">
        <v>24</v>
      </c>
      <c r="B26" s="15">
        <v>-106</v>
      </c>
      <c r="C26" s="15">
        <v>-6.23</v>
      </c>
      <c r="D26" s="45">
        <v>-3.4500000000000003E-2</v>
      </c>
      <c r="E26" s="45"/>
      <c r="F26" s="45">
        <v>-23.2</v>
      </c>
      <c r="G26" s="46"/>
    </row>
    <row r="27" spans="1:7" ht="15.75" thickBot="1" x14ac:dyDescent="0.3">
      <c r="A27" s="7" t="s">
        <v>23</v>
      </c>
      <c r="B27" s="17">
        <v>-35.9</v>
      </c>
      <c r="C27" s="17">
        <v>-8.11</v>
      </c>
      <c r="D27" s="42">
        <v>-0.312</v>
      </c>
      <c r="E27" s="42"/>
      <c r="F27" s="42">
        <v>-8.86</v>
      </c>
      <c r="G27" s="47"/>
    </row>
    <row r="28" spans="1:7" ht="15.75" thickBot="1" x14ac:dyDescent="0.3">
      <c r="A28" s="8" t="s">
        <v>17</v>
      </c>
      <c r="B28" s="18">
        <v>-128</v>
      </c>
      <c r="C28" s="18">
        <v>-14</v>
      </c>
      <c r="D28" s="43">
        <v>-0.26900000000000002</v>
      </c>
      <c r="E28" s="43"/>
      <c r="F28" s="43">
        <v>-28.4</v>
      </c>
      <c r="G28" s="48"/>
    </row>
    <row r="29" spans="1:7" ht="90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35</v>
      </c>
      <c r="B30" s="2"/>
      <c r="C30" s="24" t="s">
        <v>33</v>
      </c>
      <c r="D30" s="2"/>
      <c r="E30" s="2"/>
      <c r="F30" s="2"/>
      <c r="G30" s="3">
        <v>46191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12</v>
      </c>
      <c r="B32" s="4"/>
      <c r="C32" s="4"/>
      <c r="D32" s="4"/>
      <c r="E32" s="4"/>
      <c r="F32" s="4"/>
      <c r="G32" s="4"/>
    </row>
    <row r="33" spans="1:7" ht="79.5" customHeight="1" thickBot="1" x14ac:dyDescent="0.3">
      <c r="A33" s="39" t="s">
        <v>38</v>
      </c>
      <c r="B33" s="40"/>
      <c r="C33" s="40"/>
      <c r="D33" s="40"/>
      <c r="E33" s="40"/>
      <c r="F33" s="40"/>
      <c r="G33" s="41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  <row r="72" spans="1:7" x14ac:dyDescent="0.25">
      <c r="A72" s="4"/>
      <c r="B72" s="4"/>
      <c r="C72" s="4"/>
      <c r="D72" s="4"/>
      <c r="E72" s="4"/>
      <c r="F72" s="4"/>
      <c r="G72" s="4"/>
    </row>
  </sheetData>
  <mergeCells count="24">
    <mergeCell ref="A33:G33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  <mergeCell ref="D24:E24"/>
    <mergeCell ref="F22:G22"/>
    <mergeCell ref="D23:E23"/>
    <mergeCell ref="B19:E19"/>
    <mergeCell ref="B18:E18"/>
    <mergeCell ref="B3:C3"/>
    <mergeCell ref="B8:C8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CLT_IN_01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2026-06-18T14:07:39Z</dcterms:modified>
</cp:coreProperties>
</file>