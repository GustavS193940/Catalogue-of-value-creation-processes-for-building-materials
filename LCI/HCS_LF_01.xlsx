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070AD852-A352-407D-A4B2-F820CEFE8DF9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HCS_LF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6" i="1" l="1"/>
  <c r="F17" i="1" l="1"/>
  <c r="F15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<sst xmlns="http://schemas.openxmlformats.org/spreadsheetml/2006/main" count="38" uniqueCount="33">
  <si>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</si>
  <si>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</si>
  <si>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</si>
  <si>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</si>
  <si>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</si>
  <si>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</si>
  <si>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</si>
  <si>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</si>
  <si>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</si>
  <si>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</si>
  <si>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</si>
  <si>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</si>
  <si>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</si>
  <si>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</si>
  <si>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</si>
  <si>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</si>
  <si>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</si>
  <si>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</si>
  <si>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</si>
  <si>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</si>
  <si>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Landfill</t>
  </si>
  <si>
    <t>Disassembly</t>
  </si>
  <si>
    <t>Diesel, burned in building machine {GLO}| market for diesel, burned in building machine | Cut-off, S</t>
  </si>
  <si>
    <t>MJ</t>
  </si>
  <si>
    <t>Page 1 of 1</t>
  </si>
  <si>
    <t>tkm</t>
  </si>
  <si>
    <t>1 m³</t>
  </si>
  <si>
    <t>kg/m³</t>
  </si>
  <si>
    <t>Waste concrete {Europe without Switzerland}| treatment of waste concrete, inert material landfill | Cut-off, S</t>
  </si>
  <si>
    <t>HCS_LF_01 - Life Cycle Inventory</t>
  </si>
  <si>
    <t>Hollow Core Slab</t>
  </si>
  <si>
    <t>1 m³ hollow core slab is extracted from the building using diesel-driven machinery. Assumed diesel use of 1.4 L/t material based on a report from the Danish Environmental Protection Agency [1]. The hollow core slab is transported 50 km by truck to a municipal landfill site.</t>
  </si>
  <si>
    <t>Mass factor determined from Danish industry EPD for hollow core slabs MD-20017-DA [2] (average weight per m³, includes holes)
Diesel density assumed to be 0.845 kg/L with an energy density of 42.7 MJ/kg.
[1] Miljøstyrelsen: https://www2.mst.dk/Udgiv/publikationer/2022/02/978-87-7038-353-0.pdf
[2] MD-20017-DA: https://www.epddanmark.dk/media/ksolk4dz/md-20017-da_rev2-betonelement-foreningen.pdf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</si>
</sst>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3" borderId="1" xfId="0" applyNumberFormat="1" applyFill="1" applyBorder="1" applyAlignment="1">
      <alignment vertical="center"/>
    </xf>
    <xf numFmtId="0" fontId="1" fillId="3" borderId="4" xfId="0" applyFont="1" applyFill="1" applyBorder="1"/>
    <xf numFmtId="0" fontId="0" fillId="3" borderId="15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164" fontId="0" fillId="3" borderId="8" xfId="0" applyNumberFormat="1" applyFill="1" applyBorder="1" applyAlignment="1">
      <alignment vertical="center"/>
    </xf>
    <xf numFmtId="164" fontId="0" fillId="3" borderId="15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7"/>
  <sheetViews>
    <sheetView tabSelected="1" view="pageLayout" topLeftCell="A11" zoomScaleNormal="100" workbookViewId="0">
      <selection activeCell="C21" sqref="C21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29</v>
      </c>
      <c r="B1" s="2"/>
      <c r="C1" s="21" t="s">
        <v>24</v>
      </c>
      <c r="D1" s="2"/>
      <c r="E1" s="2"/>
      <c r="F1" s="2"/>
      <c r="G1" s="3">
        <v>46194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28" t="s">
        <v>30</v>
      </c>
      <c r="C3" s="29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26</v>
      </c>
      <c r="C5" s="4"/>
      <c r="D5" s="4"/>
      <c r="E5" s="4"/>
      <c r="F5" s="4"/>
      <c r="G5" s="4"/>
    </row>
    <row r="6" spans="1:7" x14ac:dyDescent="0.25">
      <c r="A6" s="5" t="s">
        <v>2</v>
      </c>
      <c r="B6" s="22">
        <v>1471</v>
      </c>
      <c r="C6" s="4" t="s">
        <v>27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1" t="s">
        <v>20</v>
      </c>
      <c r="C8" s="42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30" t="s">
        <v>31</v>
      </c>
      <c r="B11" s="31"/>
      <c r="C11" s="31"/>
      <c r="D11" s="31"/>
      <c r="E11" s="31"/>
      <c r="F11" s="31"/>
      <c r="G11" s="32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24" t="s">
        <v>19</v>
      </c>
      <c r="C14" s="24"/>
      <c r="D14" s="24"/>
      <c r="E14" s="24"/>
      <c r="F14" s="9" t="s">
        <v>8</v>
      </c>
      <c r="G14" s="10" t="s">
        <v>1</v>
      </c>
    </row>
    <row r="15" spans="1:7" ht="32.25" customHeight="1" x14ac:dyDescent="0.25">
      <c r="A15" s="11" t="s">
        <v>21</v>
      </c>
      <c r="B15" s="27" t="s">
        <v>22</v>
      </c>
      <c r="C15" s="27"/>
      <c r="D15" s="27"/>
      <c r="E15" s="27"/>
      <c r="F15" s="45">
        <f>B6*1.4/1000*0.845*42.7</f>
        <v>74.306241100000008</v>
      </c>
      <c r="G15" s="12" t="s">
        <v>23</v>
      </c>
    </row>
    <row r="16" spans="1:7" ht="45" customHeight="1" x14ac:dyDescent="0.25">
      <c r="A16" s="19" t="s">
        <v>9</v>
      </c>
      <c r="B16" s="25" t="s">
        <v>18</v>
      </c>
      <c r="C16" s="25"/>
      <c r="D16" s="25"/>
      <c r="E16" s="25"/>
      <c r="F16" s="46">
        <f>B6*50/1000</f>
        <v>73.55</v>
      </c>
      <c r="G16" s="20" t="s">
        <v>25</v>
      </c>
    </row>
    <row r="17" spans="1:7" ht="32.25" customHeight="1" thickBot="1" x14ac:dyDescent="0.3">
      <c r="A17" s="7" t="s">
        <v>20</v>
      </c>
      <c r="B17" s="26" t="s">
        <v>28</v>
      </c>
      <c r="C17" s="26"/>
      <c r="D17" s="26"/>
      <c r="E17" s="26"/>
      <c r="F17" s="23">
        <f>B6</f>
        <v>1471</v>
      </c>
      <c r="G17" s="13" t="s">
        <v>10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11</v>
      </c>
      <c r="B19" s="4"/>
      <c r="C19" s="4"/>
      <c r="D19" s="4"/>
      <c r="E19" s="4"/>
      <c r="F19" s="4"/>
      <c r="G19" s="4"/>
    </row>
    <row r="20" spans="1:7" ht="47.25" thickBot="1" x14ac:dyDescent="0.4">
      <c r="A20" s="8" t="s">
        <v>3</v>
      </c>
      <c r="B20" s="14" t="s">
        <v>16</v>
      </c>
      <c r="C20" s="14" t="s">
        <v>13</v>
      </c>
      <c r="D20" s="43" t="s">
        <v>14</v>
      </c>
      <c r="E20" s="43"/>
      <c r="F20" s="43" t="s">
        <v>15</v>
      </c>
      <c r="G20" s="44"/>
    </row>
    <row r="21" spans="1:7" x14ac:dyDescent="0.25">
      <c r="A21" s="11" t="s">
        <v>21</v>
      </c>
      <c r="B21" s="16">
        <v>10.1</v>
      </c>
      <c r="C21" s="16">
        <v>0.89300000000000002</v>
      </c>
      <c r="D21" s="35">
        <v>5.6599999999999998E-2</v>
      </c>
      <c r="E21" s="35"/>
      <c r="F21" s="35">
        <v>2.82</v>
      </c>
      <c r="G21" s="36"/>
    </row>
    <row r="22" spans="1:7" x14ac:dyDescent="0.25">
      <c r="A22" s="19" t="s">
        <v>9</v>
      </c>
      <c r="B22" s="15">
        <v>14.1</v>
      </c>
      <c r="C22" s="15">
        <v>0.626</v>
      </c>
      <c r="D22" s="37">
        <v>3.7100000000000001E-2</v>
      </c>
      <c r="E22" s="37"/>
      <c r="F22" s="37">
        <v>4.4400000000000004</v>
      </c>
      <c r="G22" s="38"/>
    </row>
    <row r="23" spans="1:7" ht="15.75" thickBot="1" x14ac:dyDescent="0.3">
      <c r="A23" s="7" t="s">
        <v>20</v>
      </c>
      <c r="B23" s="17">
        <v>9.5399999999999991</v>
      </c>
      <c r="C23" s="17">
        <v>-0.52500000000000002</v>
      </c>
      <c r="D23" s="33">
        <v>1.9900000000000001E-2</v>
      </c>
      <c r="E23" s="33"/>
      <c r="F23" s="33">
        <v>5.18</v>
      </c>
      <c r="G23" s="39"/>
    </row>
    <row r="24" spans="1:7" ht="15.75" thickBot="1" x14ac:dyDescent="0.3">
      <c r="A24" s="8" t="s">
        <v>17</v>
      </c>
      <c r="B24" s="18">
        <v>33.700000000000003</v>
      </c>
      <c r="C24" s="18">
        <v>0.99399999999999999</v>
      </c>
      <c r="D24" s="34">
        <v>0.114</v>
      </c>
      <c r="E24" s="34"/>
      <c r="F24" s="34">
        <v>12.4</v>
      </c>
      <c r="G24" s="40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12</v>
      </c>
      <c r="B26" s="4"/>
      <c r="C26" s="4"/>
      <c r="D26" s="4"/>
      <c r="E26" s="4"/>
      <c r="F26" s="4"/>
      <c r="G26" s="4"/>
    </row>
    <row r="27" spans="1:7" ht="114.75" customHeight="1" thickBot="1" x14ac:dyDescent="0.3">
      <c r="A27" s="30" t="s">
        <v>32</v>
      </c>
      <c r="B27" s="31"/>
      <c r="C27" s="31"/>
      <c r="D27" s="31"/>
      <c r="E27" s="31"/>
      <c r="F27" s="31"/>
      <c r="G27" s="32"/>
    </row>
  </sheetData>
  <mergeCells count="18">
    <mergeCell ref="D20:E20"/>
    <mergeCell ref="F20:G20"/>
    <mergeCell ref="D21:E21"/>
    <mergeCell ref="D22:E22"/>
    <mergeCell ref="A11:G11"/>
    <mergeCell ref="A27:G27"/>
    <mergeCell ref="D23:E23"/>
    <mergeCell ref="D24:E24"/>
    <mergeCell ref="F21:G21"/>
    <mergeCell ref="F22:G22"/>
    <mergeCell ref="F23:G23"/>
    <mergeCell ref="F24:G24"/>
    <mergeCell ref="B14:E14"/>
    <mergeCell ref="B16:E16"/>
    <mergeCell ref="B17:E17"/>
    <mergeCell ref="B15:E15"/>
    <mergeCell ref="B3:C3"/>
    <mergeCell ref="B8:C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HCS_LF_01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2026-06-21T15:05:50Z</dcterms:modified>
</cp:coreProperties>
</file>