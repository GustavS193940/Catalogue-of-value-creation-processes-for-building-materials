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8E605E2-81FC-44EF-B158-CCCF4F7D01D1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PW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<sst xmlns="http://schemas.openxmlformats.org/spreadsheetml/2006/main" count="48" uniqueCount="39">
  <si>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</si>
  <si>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</si>
  <si>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</si>
  <si>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</si>
  <si>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</si>
  <si>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</si>
  <si>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</si>
  <si>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</si>
  <si>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</si>
  <si>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</si>
  <si>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</si>
  <si>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</si>
  <si>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</si>
  <si>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</si>
  <si>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</si>
  <si>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</si>
  <si>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</si>
  <si>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</si>
  <si>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</si>
  <si>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</si>
  <si>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</si>
  <si>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</si>
  <si>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</si>
  <si>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</si>
  <si>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</si>
  <si>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</si>
  <si>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</si>
  <si>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</si>
  <si>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</si>
  <si>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</si>
  <si>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</si>
  <si>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</si>
  <si>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</si>
  <si>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</si>
  <si>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Waste wood, untreated {GLO}| treatment of waste wood, untreated, municipal incineration | Cut-off, S</t>
  </si>
  <si>
    <t>Plywood</t>
  </si>
  <si>
    <t>1 m³ of plywood is extracted from the building diesel-driven machinery. Assumed diesel use of 1.4 L/t material based on a report from the Danish Environmental Protection Agency (2022) [1]. The plywood is transported 50 km by truck to a municipal incineration plant where it is incinerated for energy recovery. Heat recovery of 1640 MJ/m³ plywood and electricity recovery of 815 MJ/m³ plywood from Danish industry EPD for plywood [2].</t>
  </si>
  <si>
    <t>Mass factor determined from Danish industry EPD for plywood MD-25109-EN [2]
Diesel density assumed to be 0.845 kg/L with an energy density of 42.7 MJ/kg.
[1] Miljøstyrelsen (2022): https://www2.mst.dk/Udgiv/publikationer/2022/02/978-87-7038-353-0.pdf
[2] MD-25109-EN: https://www.epddanmark.dk/media/qjunhs5r/md-25109-en.pdf</t>
  </si>
  <si>
    <t>PW_IN_01 - Life Cycle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</si>
</sst>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0" fontId="0" fillId="3" borderId="17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topLeftCell="A29" zoomScaleNormal="100" workbookViewId="0">
      <selection activeCell="A33" sqref="A33:G33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4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7" t="s">
        <v>35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486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3" t="s">
        <v>22</v>
      </c>
      <c r="C8" s="4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5" t="s">
        <v>36</v>
      </c>
      <c r="B11" s="46"/>
      <c r="C11" s="46"/>
      <c r="D11" s="46"/>
      <c r="E11" s="46"/>
      <c r="F11" s="46"/>
      <c r="G11" s="4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8" t="s">
        <v>19</v>
      </c>
      <c r="C14" s="48"/>
      <c r="D14" s="48"/>
      <c r="E14" s="48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49" t="s">
        <v>31</v>
      </c>
      <c r="C15" s="49"/>
      <c r="D15" s="49"/>
      <c r="E15" s="49"/>
      <c r="F15" s="21">
        <f>B6*1.4/1000*0.845*42.7</f>
        <v>24.549852599999998</v>
      </c>
      <c r="G15" s="12" t="s">
        <v>26</v>
      </c>
    </row>
    <row r="16" spans="1:7" ht="45" customHeight="1" x14ac:dyDescent="0.25">
      <c r="A16" s="19" t="s">
        <v>9</v>
      </c>
      <c r="B16" s="42" t="s">
        <v>18</v>
      </c>
      <c r="C16" s="42"/>
      <c r="D16" s="42"/>
      <c r="E16" s="42"/>
      <c r="F16" s="23">
        <f>B6*50/1000</f>
        <v>24.3</v>
      </c>
      <c r="G16" s="20" t="s">
        <v>30</v>
      </c>
    </row>
    <row r="17" spans="1:7" ht="30.75" customHeight="1" x14ac:dyDescent="0.25">
      <c r="A17" s="19" t="s">
        <v>22</v>
      </c>
      <c r="B17" s="42" t="s">
        <v>34</v>
      </c>
      <c r="C17" s="42"/>
      <c r="D17" s="42"/>
      <c r="E17" s="42"/>
      <c r="F17" s="22">
        <f>B6</f>
        <v>486</v>
      </c>
      <c r="G17" s="20" t="s">
        <v>10</v>
      </c>
    </row>
    <row r="18" spans="1:7" ht="45.75" customHeight="1" x14ac:dyDescent="0.25">
      <c r="A18" s="19" t="s">
        <v>24</v>
      </c>
      <c r="B18" s="42" t="s">
        <v>25</v>
      </c>
      <c r="C18" s="42"/>
      <c r="D18" s="42"/>
      <c r="E18" s="42"/>
      <c r="F18" s="26">
        <v>-1.64</v>
      </c>
      <c r="G18" s="20" t="s">
        <v>32</v>
      </c>
    </row>
    <row r="19" spans="1:7" ht="15.75" customHeight="1" thickBot="1" x14ac:dyDescent="0.3">
      <c r="A19" s="7" t="s">
        <v>23</v>
      </c>
      <c r="B19" s="41" t="s">
        <v>21</v>
      </c>
      <c r="C19" s="41"/>
      <c r="D19" s="41"/>
      <c r="E19" s="41"/>
      <c r="F19" s="25">
        <v>-815</v>
      </c>
      <c r="G19" s="13" t="s">
        <v>26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16</v>
      </c>
      <c r="C22" s="14" t="s">
        <v>13</v>
      </c>
      <c r="D22" s="39" t="s">
        <v>14</v>
      </c>
      <c r="E22" s="39"/>
      <c r="F22" s="39" t="s">
        <v>15</v>
      </c>
      <c r="G22" s="40"/>
    </row>
    <row r="23" spans="1:7" x14ac:dyDescent="0.25">
      <c r="A23" s="11" t="s">
        <v>20</v>
      </c>
      <c r="B23" s="16">
        <v>2.5099999999999998</v>
      </c>
      <c r="C23" s="16">
        <v>1.77E-2</v>
      </c>
      <c r="D23" s="33">
        <v>4.0499999999999998E-3</v>
      </c>
      <c r="E23" s="33"/>
      <c r="F23" s="33">
        <v>0.73799999999999999</v>
      </c>
      <c r="G23" s="34"/>
    </row>
    <row r="24" spans="1:7" x14ac:dyDescent="0.25">
      <c r="A24" s="19" t="s">
        <v>9</v>
      </c>
      <c r="B24" s="15">
        <v>4.6500000000000004</v>
      </c>
      <c r="C24" s="15">
        <v>0.20699999999999999</v>
      </c>
      <c r="D24" s="35">
        <v>1.23E-2</v>
      </c>
      <c r="E24" s="35"/>
      <c r="F24" s="35">
        <v>1.42</v>
      </c>
      <c r="G24" s="36"/>
    </row>
    <row r="25" spans="1:7" x14ac:dyDescent="0.25">
      <c r="A25" s="19" t="s">
        <v>22</v>
      </c>
      <c r="B25" s="15">
        <v>7.67</v>
      </c>
      <c r="C25" s="15">
        <v>0.126</v>
      </c>
      <c r="D25" s="35">
        <v>6.4699999999999994E-2</v>
      </c>
      <c r="E25" s="35"/>
      <c r="F25" s="35">
        <v>1.56</v>
      </c>
      <c r="G25" s="36"/>
    </row>
    <row r="26" spans="1:7" x14ac:dyDescent="0.25">
      <c r="A26" s="19" t="s">
        <v>24</v>
      </c>
      <c r="B26" s="15">
        <v>-120</v>
      </c>
      <c r="C26" s="15">
        <v>-6.99</v>
      </c>
      <c r="D26" s="35">
        <v>-3.8800000000000001E-2</v>
      </c>
      <c r="E26" s="35"/>
      <c r="F26" s="35">
        <v>-26</v>
      </c>
      <c r="G26" s="36"/>
    </row>
    <row r="27" spans="1:7" ht="15.75" thickBot="1" x14ac:dyDescent="0.3">
      <c r="A27" s="7" t="s">
        <v>23</v>
      </c>
      <c r="B27" s="17">
        <v>-40.4</v>
      </c>
      <c r="C27" s="17">
        <v>-9.1300000000000008</v>
      </c>
      <c r="D27" s="31">
        <v>-0.35099999999999998</v>
      </c>
      <c r="E27" s="31"/>
      <c r="F27" s="31">
        <v>-9.9700000000000006</v>
      </c>
      <c r="G27" s="37"/>
    </row>
    <row r="28" spans="1:7" ht="15.75" thickBot="1" x14ac:dyDescent="0.3">
      <c r="A28" s="8" t="s">
        <v>17</v>
      </c>
      <c r="B28" s="18">
        <v>-145</v>
      </c>
      <c r="C28" s="18">
        <v>-15.8</v>
      </c>
      <c r="D28" s="32">
        <v>-0.309</v>
      </c>
      <c r="E28" s="32"/>
      <c r="F28" s="32">
        <v>-32.200000000000003</v>
      </c>
      <c r="G28" s="3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38</v>
      </c>
      <c r="B30" s="2"/>
      <c r="C30" s="24" t="s">
        <v>33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79.5" customHeight="1" thickBot="1" x14ac:dyDescent="0.3">
      <c r="A33" s="28" t="s">
        <v>37</v>
      </c>
      <c r="B33" s="29"/>
      <c r="C33" s="29"/>
      <c r="D33" s="29"/>
      <c r="E33" s="29"/>
      <c r="F33" s="29"/>
      <c r="G33" s="30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3">
    <mergeCell ref="F22:G22"/>
    <mergeCell ref="D23:E23"/>
    <mergeCell ref="B19:E19"/>
    <mergeCell ref="B18:E18"/>
    <mergeCell ref="B8:C8"/>
    <mergeCell ref="D22:E22"/>
    <mergeCell ref="A11:G11"/>
    <mergeCell ref="B14:E14"/>
    <mergeCell ref="B16:E16"/>
    <mergeCell ref="B17:E17"/>
    <mergeCell ref="B15:E15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PW_IN_01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2026-06-18T14:26:14Z</dcterms:modified>
</cp:coreProperties>
</file>