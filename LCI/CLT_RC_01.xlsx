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63E5CE14-C8FC-4F11-8183-F15DA4A86DFB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LT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<sst xmlns="http://schemas.openxmlformats.org/spreadsheetml/2006/main" count="52" uniqueCount="42">
  <si>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</si>
  <si>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</si>
  <si>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</si>
  <si>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</si>
  <si>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</si>
  <si>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</si>
  <si>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</si>
  <si>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</si>
  <si>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</si>
  <si>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</si>
  <si>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</si>
  <si>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</si>
  <si>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</si>
  <si>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</si>
  <si>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</si>
  <si>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</si>
  <si>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</si>
  <si>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</si>
  <si>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</si>
  <si>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</si>
  <si>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</si>
  <si>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</si>
  <si>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</si>
  <si>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</si>
  <si>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</si>
  <si>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</si>
  <si>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</si>
  <si>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</si>
  <si>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</si>
  <si>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</si>
  <si>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</si>
  <si>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</si>
  <si>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</si>
  <si>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Recycling (Particle Board)</t>
  </si>
  <si>
    <t>Avoided wood</t>
  </si>
  <si>
    <t>Incineration of residual</t>
  </si>
  <si>
    <t>m³</t>
  </si>
  <si>
    <t>CLT_RC_01 - Life Cycle Inventory</t>
  </si>
  <si>
    <t>Cross Laminated Timber (CLT)</t>
  </si>
  <si>
    <t>1 m³ of CLT is extracted from the building diesel-driven machinery. Assumed diesel use of 1.4 L/t material based on a report from the Danish Environmental Protection Agency (2022) [1]. The CLT is transported 100 km by truck to a facility in Denmark where it replaces virgin wood in the production of particle boards. According to data received from Kronospan Novopan approximately 86% of received wood is recyclable for particle board. The remaining 14% is incinerated on site for energy recovery. Heat recovery of 1460 MJ/m³ CLT and electricity recovery of 724 MJ/m³ CLT from Danish industry EPD for CLT [2].</t>
  </si>
  <si>
    <t>Sawnwood, softwood, raw, dried (u=20%) {RER}| market for sawnwood, softwood, raw, dried (u=20%) | Cut-off, S</t>
  </si>
  <si>
    <t>Mass factor determined from Danish industry EPD for CLT MD-25107-EN [2]
Diesel density assumed to be 0.845 kg/L with an energy density of 42.7 MJ/kg.
EcoInvent process for avoided wood assumes density of 486 kg/m³, so volume has been scaled down to match the weight of the recycled wood.
[1] Miljøstyrelsen (2022): https://www2.mst.dk/Udgiv/publikationer/2022/02/978-87-7038-353-0.pdf
[2] MD-25107-EN: https://www.epddanmark.dk/media/kn5kwbzj/md-25107-en.pdf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</si>
</sst>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vertical="center"/>
    </xf>
    <xf numFmtId="164" fontId="0" fillId="3" borderId="13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3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3"/>
  <sheetViews>
    <sheetView tabSelected="1" view="pageLayout" topLeftCell="A12" zoomScaleNormal="100" workbookViewId="0">
      <selection activeCell="F24" sqref="F24:G29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37</v>
      </c>
      <c r="B1" s="2"/>
      <c r="C1" s="23" t="s">
        <v>28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1" t="s">
        <v>38</v>
      </c>
      <c r="C3" s="42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469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33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2.25" customHeight="1" thickBot="1" x14ac:dyDescent="0.3">
      <c r="A11" s="33" t="s">
        <v>39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6" t="s">
        <v>19</v>
      </c>
      <c r="C14" s="36"/>
      <c r="D14" s="36"/>
      <c r="E14" s="36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38" t="s">
        <v>30</v>
      </c>
      <c r="C15" s="38"/>
      <c r="D15" s="38"/>
      <c r="E15" s="38"/>
      <c r="F15" s="20">
        <f>B6*1.4/1000*0.845*42.7</f>
        <v>23.6911129</v>
      </c>
      <c r="G15" s="12" t="s">
        <v>25</v>
      </c>
    </row>
    <row r="16" spans="1:7" ht="45" customHeight="1" x14ac:dyDescent="0.25">
      <c r="A16" s="18" t="s">
        <v>9</v>
      </c>
      <c r="B16" s="37" t="s">
        <v>18</v>
      </c>
      <c r="C16" s="37"/>
      <c r="D16" s="37"/>
      <c r="E16" s="37"/>
      <c r="F16" s="22">
        <f>B6*100/1000</f>
        <v>46.9</v>
      </c>
      <c r="G16" s="19" t="s">
        <v>29</v>
      </c>
    </row>
    <row r="17" spans="1:7" ht="30.75" customHeight="1" x14ac:dyDescent="0.25">
      <c r="A17" s="27" t="s">
        <v>35</v>
      </c>
      <c r="B17" s="37" t="s">
        <v>32</v>
      </c>
      <c r="C17" s="37"/>
      <c r="D17" s="37"/>
      <c r="E17" s="37"/>
      <c r="F17" s="22">
        <f>B6*0.14</f>
        <v>65.660000000000011</v>
      </c>
      <c r="G17" s="19" t="s">
        <v>10</v>
      </c>
    </row>
    <row r="18" spans="1:7" ht="45.75" customHeight="1" x14ac:dyDescent="0.25">
      <c r="A18" s="18" t="s">
        <v>23</v>
      </c>
      <c r="B18" s="37" t="s">
        <v>24</v>
      </c>
      <c r="C18" s="37"/>
      <c r="D18" s="37"/>
      <c r="E18" s="37"/>
      <c r="F18" s="21">
        <f>-1460*0.14</f>
        <v>-204.4</v>
      </c>
      <c r="G18" s="19" t="s">
        <v>25</v>
      </c>
    </row>
    <row r="19" spans="1:7" ht="15.75" customHeight="1" x14ac:dyDescent="0.25">
      <c r="A19" s="24" t="s">
        <v>22</v>
      </c>
      <c r="B19" s="39" t="s">
        <v>21</v>
      </c>
      <c r="C19" s="39"/>
      <c r="D19" s="39"/>
      <c r="E19" s="39"/>
      <c r="F19" s="26">
        <f>-724*0.14</f>
        <v>-101.36000000000001</v>
      </c>
      <c r="G19" s="25" t="s">
        <v>25</v>
      </c>
    </row>
    <row r="20" spans="1:7" ht="31.5" customHeight="1" thickBot="1" x14ac:dyDescent="0.3">
      <c r="A20" s="7" t="s">
        <v>34</v>
      </c>
      <c r="B20" s="40" t="s">
        <v>40</v>
      </c>
      <c r="C20" s="40"/>
      <c r="D20" s="40"/>
      <c r="E20" s="40"/>
      <c r="F20" s="28">
        <f>-B6/486*0.86</f>
        <v>-0.829917695473251</v>
      </c>
      <c r="G20" s="13" t="s">
        <v>36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ht="15.75" thickBot="1" x14ac:dyDescent="0.3">
      <c r="A22" s="5" t="s">
        <v>11</v>
      </c>
      <c r="B22" s="4"/>
      <c r="C22" s="4"/>
      <c r="D22" s="4"/>
      <c r="E22" s="4"/>
      <c r="F22" s="4"/>
      <c r="G22" s="4"/>
    </row>
    <row r="23" spans="1:7" ht="47.25" thickBot="1" x14ac:dyDescent="0.4">
      <c r="A23" s="8" t="s">
        <v>3</v>
      </c>
      <c r="B23" s="14" t="s">
        <v>16</v>
      </c>
      <c r="C23" s="14" t="s">
        <v>13</v>
      </c>
      <c r="D23" s="29" t="s">
        <v>14</v>
      </c>
      <c r="E23" s="29"/>
      <c r="F23" s="29" t="s">
        <v>15</v>
      </c>
      <c r="G23" s="30"/>
    </row>
    <row r="24" spans="1:7" x14ac:dyDescent="0.25">
      <c r="A24" s="11" t="s">
        <v>20</v>
      </c>
      <c r="B24" s="16">
        <v>2.4300000000000002</v>
      </c>
      <c r="C24" s="16">
        <v>1.7100000000000001E-2</v>
      </c>
      <c r="D24" s="31">
        <v>3.9199999999999999E-3</v>
      </c>
      <c r="E24" s="31"/>
      <c r="F24" s="31">
        <v>0.71399999999999997</v>
      </c>
      <c r="G24" s="47"/>
    </row>
    <row r="25" spans="1:7" x14ac:dyDescent="0.25">
      <c r="A25" s="18" t="s">
        <v>9</v>
      </c>
      <c r="B25" s="15">
        <v>8.9700000000000006</v>
      </c>
      <c r="C25" s="15">
        <v>0.39900000000000002</v>
      </c>
      <c r="D25" s="32">
        <v>2.3599999999999999E-2</v>
      </c>
      <c r="E25" s="32"/>
      <c r="F25" s="32">
        <v>2.83</v>
      </c>
      <c r="G25" s="48"/>
    </row>
    <row r="26" spans="1:7" ht="30" x14ac:dyDescent="0.25">
      <c r="A26" s="27" t="s">
        <v>35</v>
      </c>
      <c r="B26" s="15">
        <v>1.04</v>
      </c>
      <c r="C26" s="15">
        <v>1.7000000000000001E-2</v>
      </c>
      <c r="D26" s="32">
        <v>8.7399999999999995E-3</v>
      </c>
      <c r="E26" s="32"/>
      <c r="F26" s="32">
        <v>0.21099999999999999</v>
      </c>
      <c r="G26" s="48"/>
    </row>
    <row r="27" spans="1:7" x14ac:dyDescent="0.25">
      <c r="A27" s="18" t="s">
        <v>23</v>
      </c>
      <c r="B27" s="15">
        <v>-14.9</v>
      </c>
      <c r="C27" s="15">
        <v>-0.87</v>
      </c>
      <c r="D27" s="32">
        <v>-4.8300000000000001E-3</v>
      </c>
      <c r="E27" s="32"/>
      <c r="F27" s="32">
        <v>-3.24</v>
      </c>
      <c r="G27" s="48"/>
    </row>
    <row r="28" spans="1:7" x14ac:dyDescent="0.25">
      <c r="A28" s="18" t="s">
        <v>22</v>
      </c>
      <c r="B28" s="15">
        <v>-5.01</v>
      </c>
      <c r="C28" s="15">
        <v>-1.1299999999999999</v>
      </c>
      <c r="D28" s="32">
        <v>-4.3499999999999997E-2</v>
      </c>
      <c r="E28" s="32"/>
      <c r="F28" s="32">
        <v>-1.24</v>
      </c>
      <c r="G28" s="48"/>
    </row>
    <row r="29" spans="1:7" ht="15.75" thickBot="1" x14ac:dyDescent="0.3">
      <c r="A29" s="7" t="s">
        <v>34</v>
      </c>
      <c r="B29" s="15">
        <v>-52</v>
      </c>
      <c r="C29" s="15">
        <v>-527</v>
      </c>
      <c r="D29" s="32">
        <v>-0.19500000000000001</v>
      </c>
      <c r="E29" s="32"/>
      <c r="F29" s="32">
        <v>-15.4</v>
      </c>
      <c r="G29" s="48"/>
    </row>
    <row r="30" spans="1:7" ht="15.75" thickBot="1" x14ac:dyDescent="0.3">
      <c r="A30" s="8" t="s">
        <v>17</v>
      </c>
      <c r="B30" s="17">
        <v>-59.4</v>
      </c>
      <c r="C30" s="17">
        <v>-529</v>
      </c>
      <c r="D30" s="46">
        <v>-0.20699999999999999</v>
      </c>
      <c r="E30" s="46"/>
      <c r="F30" s="46">
        <v>-16.100000000000001</v>
      </c>
      <c r="G30" s="49"/>
    </row>
    <row r="31" spans="1:7" x14ac:dyDescent="0.25">
      <c r="A31" s="4"/>
      <c r="B31" s="4"/>
      <c r="C31" s="4"/>
      <c r="D31" s="4"/>
      <c r="E31" s="4"/>
      <c r="F31" s="4"/>
      <c r="G31" s="4"/>
    </row>
    <row r="32" spans="1:7" s="1" customFormat="1" ht="15.75" thickBot="1" x14ac:dyDescent="0.3">
      <c r="A32" s="2" t="s">
        <v>37</v>
      </c>
      <c r="B32" s="2"/>
      <c r="C32" s="23" t="s">
        <v>31</v>
      </c>
      <c r="D32" s="2"/>
      <c r="E32" s="2"/>
      <c r="F32" s="2"/>
      <c r="G32" s="3">
        <v>46191</v>
      </c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96" customHeight="1" thickBot="1" x14ac:dyDescent="0.3">
      <c r="A35" s="43" t="s">
        <v>41</v>
      </c>
      <c r="B35" s="44"/>
      <c r="C35" s="44"/>
      <c r="D35" s="44"/>
      <c r="E35" s="44"/>
      <c r="F35" s="44"/>
      <c r="G35" s="45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  <row r="73" spans="1:7" x14ac:dyDescent="0.25">
      <c r="A73" s="4"/>
      <c r="B73" s="4"/>
      <c r="C73" s="4"/>
      <c r="D73" s="4"/>
      <c r="E73" s="4"/>
      <c r="F73" s="4"/>
      <c r="G73" s="4"/>
    </row>
  </sheetData>
  <mergeCells count="27">
    <mergeCell ref="B3:C3"/>
    <mergeCell ref="A35:G35"/>
    <mergeCell ref="D28:E28"/>
    <mergeCell ref="D30:E30"/>
    <mergeCell ref="F24:G24"/>
    <mergeCell ref="F25:G25"/>
    <mergeCell ref="F28:G28"/>
    <mergeCell ref="F30:G30"/>
    <mergeCell ref="D26:E26"/>
    <mergeCell ref="F26:G26"/>
    <mergeCell ref="D27:E27"/>
    <mergeCell ref="F27:G27"/>
    <mergeCell ref="D29:E29"/>
    <mergeCell ref="F29:G29"/>
    <mergeCell ref="B8:C8"/>
    <mergeCell ref="D23:E23"/>
    <mergeCell ref="F23:G23"/>
    <mergeCell ref="D24:E24"/>
    <mergeCell ref="D25:E25"/>
    <mergeCell ref="A11:G11"/>
    <mergeCell ref="B14:E14"/>
    <mergeCell ref="B16:E16"/>
    <mergeCell ref="B17:E17"/>
    <mergeCell ref="B15:E15"/>
    <mergeCell ref="B19:E19"/>
    <mergeCell ref="B18:E18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CLT_RC_01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2026-06-20T13:24:53Z</dcterms:modified>
</cp:coreProperties>
</file>