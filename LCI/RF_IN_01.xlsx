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9FC187B0-A087-4C1B-9330-ADAE14448466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F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<sst xmlns="http://schemas.openxmlformats.org/spreadsheetml/2006/main" count="48" uniqueCount="38">
  <si>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</si>
  <si>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</si>
  <si>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</si>
  <si>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</si>
  <si>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</si>
  <si>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</si>
  <si>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</si>
  <si>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</si>
  <si>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</si>
  <si>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</si>
  <si>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</si>
  <si>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</si>
  <si>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kg</t>
  </si>
  <si>
    <t>Process contribution</t>
  </si>
  <si>
    <t>Comments</t>
  </si>
  <si>
    <t>kg/m²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</si>
  <si>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</si>
  <si>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</si>
  <si>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</si>
  <si>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</si>
  <si>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</si>
  <si>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</si>
  <si>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</si>
  <si>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</si>
  <si>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</si>
  <si>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kJ</t>
  </si>
  <si>
    <t>kgkm</t>
  </si>
  <si>
    <t>RF_IN_01 - Life Cycle Inventory</t>
  </si>
  <si>
    <t>Incineration</t>
  </si>
  <si>
    <t>Waste bitumen sheet {GLO}| treatment of waste bitumen sheet, municipal incineration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</si>
  <si>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</si>
  <si>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</si>
  <si>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</si>
  <si>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</si>
  <si>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1</t>
  </si>
  <si>
    <t>1 m² of double-layered roofing felt is extracted from the building using electric tools. Assumed electricity use of 0.989 kJ/kg roofing felt based on reference calculation [1]. The roofing felt is transported 50 km by truck to a municipal incineration plant where it is incinerated for energy recovery. Heat recovery of 7.90 MJ/kg roofing felt and electricity recovery of 4.05 MJ/kg roofing felt, calculated as an average from four EPDs from Derbigum [2, 3, 4, 5].</t>
  </si>
  <si>
    <t xml:space="preserve">Mass factor determined from BR18, appendix 2, table 7 ID #D1501, rounded to 3 significant figures.
[1] Reference calculation: https://github.com/GustavS193940/Catalogue-of-value-creation-processes-for-building-materials/blob/b19f72869c2b249eae2a71bcbf9176dfd2070a8f/Electricity%20Reference/README.md
[2] MD-26033-EN: https://www.epddanmark.dk/media/0tdaei3a/md-26033-en.pdf
[3] MD-23004-EN: https://www.epddanmark.dk/media/kj2bw3o4/md-23004-en.pdf
[4] MD-23005-EN: https://www.epddanmark.dk/media/qqenha1i/md-23005-en.pdf
[5] MD-26032-EN: https://www.epddanmark.dk/media/rogh1kiu/md-26032-en.pdf
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</si>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</sst>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18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9"/>
  <sheetViews>
    <sheetView tabSelected="1" view="pageLayout" zoomScaleNormal="100" workbookViewId="0">
      <selection activeCell="C6" sqref="C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6" t="s">
        <v>34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15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28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6" t="s">
        <v>35</v>
      </c>
      <c r="B11" s="47"/>
      <c r="C11" s="47"/>
      <c r="D11" s="47"/>
      <c r="E11" s="47"/>
      <c r="F11" s="47"/>
      <c r="G11" s="4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22</v>
      </c>
      <c r="C14" s="42"/>
      <c r="D14" s="42"/>
      <c r="E14" s="42"/>
      <c r="F14" s="10" t="s">
        <v>10</v>
      </c>
      <c r="G14" s="11" t="s">
        <v>1</v>
      </c>
    </row>
    <row r="15" spans="1:7" x14ac:dyDescent="0.25">
      <c r="A15" s="12" t="s">
        <v>23</v>
      </c>
      <c r="B15" s="44" t="s">
        <v>24</v>
      </c>
      <c r="C15" s="44"/>
      <c r="D15" s="44"/>
      <c r="E15" s="44"/>
      <c r="F15" s="22">
        <f>B6*0.989</f>
        <v>12.6592</v>
      </c>
      <c r="G15" s="13" t="s">
        <v>25</v>
      </c>
    </row>
    <row r="16" spans="1:7" ht="45" customHeight="1" x14ac:dyDescent="0.25">
      <c r="A16" s="20" t="s">
        <v>11</v>
      </c>
      <c r="B16" s="43" t="s">
        <v>21</v>
      </c>
      <c r="C16" s="43"/>
      <c r="D16" s="43"/>
      <c r="E16" s="43"/>
      <c r="F16" s="23">
        <f>B6*50</f>
        <v>640</v>
      </c>
      <c r="G16" s="21" t="s">
        <v>26</v>
      </c>
    </row>
    <row r="17" spans="1:7" ht="30.75" customHeight="1" x14ac:dyDescent="0.25">
      <c r="A17" s="20" t="s">
        <v>28</v>
      </c>
      <c r="B17" s="43" t="s">
        <v>29</v>
      </c>
      <c r="C17" s="43"/>
      <c r="D17" s="43"/>
      <c r="E17" s="43"/>
      <c r="F17" s="24">
        <f>B6</f>
        <v>12.8</v>
      </c>
      <c r="G17" s="21" t="s">
        <v>12</v>
      </c>
    </row>
    <row r="18" spans="1:7" ht="45.75" customHeight="1" x14ac:dyDescent="0.25">
      <c r="A18" s="20" t="s">
        <v>31</v>
      </c>
      <c r="B18" s="43" t="s">
        <v>32</v>
      </c>
      <c r="C18" s="43"/>
      <c r="D18" s="43"/>
      <c r="E18" s="43"/>
      <c r="F18" s="23">
        <f>-7.9*B6</f>
        <v>-101.12</v>
      </c>
      <c r="G18" s="21" t="s">
        <v>33</v>
      </c>
    </row>
    <row r="19" spans="1:7" ht="15.75" customHeight="1" thickBot="1" x14ac:dyDescent="0.3">
      <c r="A19" s="8" t="s">
        <v>30</v>
      </c>
      <c r="B19" s="45" t="s">
        <v>24</v>
      </c>
      <c r="C19" s="45"/>
      <c r="D19" s="45"/>
      <c r="E19" s="45"/>
      <c r="F19" s="25">
        <f>-4.05*B6</f>
        <v>-51.84</v>
      </c>
      <c r="G19" s="14" t="s">
        <v>33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13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19</v>
      </c>
      <c r="C22" s="15" t="s">
        <v>16</v>
      </c>
      <c r="D22" s="40" t="s">
        <v>17</v>
      </c>
      <c r="E22" s="40"/>
      <c r="F22" s="40" t="s">
        <v>18</v>
      </c>
      <c r="G22" s="41"/>
    </row>
    <row r="23" spans="1:7" x14ac:dyDescent="0.25">
      <c r="A23" s="12" t="s">
        <v>23</v>
      </c>
      <c r="B23" s="17">
        <v>6.29E-4</v>
      </c>
      <c r="C23" s="17">
        <v>1.4200000000000001E-4</v>
      </c>
      <c r="D23" s="32">
        <v>5.48E-6</v>
      </c>
      <c r="E23" s="32"/>
      <c r="F23" s="32">
        <v>1.55E-4</v>
      </c>
      <c r="G23" s="33"/>
    </row>
    <row r="24" spans="1:7" x14ac:dyDescent="0.25">
      <c r="A24" s="20" t="s">
        <v>11</v>
      </c>
      <c r="B24" s="16">
        <v>0.122</v>
      </c>
      <c r="C24" s="16">
        <v>5.4400000000000004E-3</v>
      </c>
      <c r="D24" s="34">
        <v>3.2299999999999999E-4</v>
      </c>
      <c r="E24" s="34"/>
      <c r="F24" s="34">
        <v>3.8600000000000002E-2</v>
      </c>
      <c r="G24" s="35"/>
    </row>
    <row r="25" spans="1:7" x14ac:dyDescent="0.25">
      <c r="A25" s="20" t="s">
        <v>28</v>
      </c>
      <c r="B25" s="16">
        <v>30.4</v>
      </c>
      <c r="C25" s="16">
        <v>1.78E-2</v>
      </c>
      <c r="D25" s="34">
        <v>3.5500000000000002E-3</v>
      </c>
      <c r="E25" s="34"/>
      <c r="F25" s="34">
        <v>0.17</v>
      </c>
      <c r="G25" s="35"/>
    </row>
    <row r="26" spans="1:7" x14ac:dyDescent="0.25">
      <c r="A26" s="20" t="s">
        <v>31</v>
      </c>
      <c r="B26" s="16">
        <v>-7.37</v>
      </c>
      <c r="C26" s="16">
        <v>-0.43099999999999999</v>
      </c>
      <c r="D26" s="34">
        <v>-2.3900000000000002E-3</v>
      </c>
      <c r="E26" s="34"/>
      <c r="F26" s="34">
        <v>-1.6</v>
      </c>
      <c r="G26" s="35"/>
    </row>
    <row r="27" spans="1:7" ht="15.75" thickBot="1" x14ac:dyDescent="0.3">
      <c r="A27" s="8" t="s">
        <v>30</v>
      </c>
      <c r="B27" s="18">
        <v>-2.57</v>
      </c>
      <c r="C27" s="18">
        <v>-0.58099999999999996</v>
      </c>
      <c r="D27" s="30">
        <v>-2.23E-2</v>
      </c>
      <c r="E27" s="30"/>
      <c r="F27" s="30">
        <v>-0.63400000000000001</v>
      </c>
      <c r="G27" s="36"/>
    </row>
    <row r="28" spans="1:7" ht="15.75" thickBot="1" x14ac:dyDescent="0.3">
      <c r="A28" s="9" t="s">
        <v>20</v>
      </c>
      <c r="B28" s="19">
        <v>20.6</v>
      </c>
      <c r="C28" s="19">
        <v>-0.98799999999999999</v>
      </c>
      <c r="D28" s="31">
        <v>-2.0799999999999999E-2</v>
      </c>
      <c r="E28" s="31"/>
      <c r="F28" s="31">
        <v>-2.0299999999999998</v>
      </c>
      <c r="G28" s="37"/>
    </row>
    <row r="29" spans="1:7" ht="107.2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27</v>
      </c>
      <c r="B30" s="2"/>
      <c r="C30" s="26" t="s">
        <v>37</v>
      </c>
      <c r="D30" s="2"/>
      <c r="E30" s="2"/>
      <c r="F30" s="2"/>
      <c r="G30" s="3">
        <v>46190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14</v>
      </c>
      <c r="B32" s="4"/>
      <c r="C32" s="4"/>
      <c r="D32" s="4"/>
      <c r="E32" s="4"/>
      <c r="F32" s="4"/>
      <c r="G32" s="4"/>
    </row>
    <row r="33" spans="1:7" ht="124.5" customHeight="1" thickBot="1" x14ac:dyDescent="0.3">
      <c r="A33" s="27" t="s">
        <v>36</v>
      </c>
      <c r="B33" s="28"/>
      <c r="C33" s="28"/>
      <c r="D33" s="28"/>
      <c r="E33" s="28"/>
      <c r="F33" s="28"/>
      <c r="G33" s="29"/>
    </row>
    <row r="34" spans="1:7" x14ac:dyDescent="0.25">
      <c r="A34" s="49"/>
      <c r="B34" s="49"/>
      <c r="C34" s="49"/>
      <c r="D34" s="49"/>
      <c r="E34" s="49"/>
      <c r="F34" s="49"/>
      <c r="G34" s="49"/>
    </row>
    <row r="35" spans="1:7" x14ac:dyDescent="0.25">
      <c r="A35" s="50"/>
      <c r="B35" s="50"/>
      <c r="C35" s="50"/>
      <c r="D35" s="50"/>
      <c r="E35" s="50"/>
      <c r="F35" s="50"/>
      <c r="G35" s="50"/>
    </row>
    <row r="36" spans="1:7" x14ac:dyDescent="0.25">
      <c r="A36" s="50"/>
      <c r="B36" s="50"/>
      <c r="C36" s="50"/>
      <c r="D36" s="50"/>
      <c r="E36" s="50"/>
      <c r="F36" s="50"/>
      <c r="G36" s="50"/>
    </row>
    <row r="37" spans="1:7" x14ac:dyDescent="0.25">
      <c r="A37" s="50"/>
      <c r="B37" s="50"/>
      <c r="C37" s="50"/>
      <c r="D37" s="50"/>
      <c r="E37" s="50"/>
      <c r="F37" s="50"/>
      <c r="G37" s="50"/>
    </row>
    <row r="38" spans="1:7" x14ac:dyDescent="0.25">
      <c r="A38" s="50"/>
      <c r="B38" s="50"/>
      <c r="C38" s="50"/>
      <c r="D38" s="50"/>
      <c r="E38" s="50"/>
      <c r="F38" s="50"/>
      <c r="G38" s="50"/>
    </row>
    <row r="39" spans="1:7" x14ac:dyDescent="0.25">
      <c r="A39" s="50"/>
      <c r="B39" s="50"/>
      <c r="C39" s="50"/>
      <c r="D39" s="50"/>
      <c r="E39" s="50"/>
      <c r="F39" s="50"/>
      <c r="G39" s="50"/>
    </row>
    <row r="40" spans="1:7" x14ac:dyDescent="0.25">
      <c r="A40" s="50"/>
      <c r="B40" s="50"/>
      <c r="C40" s="50"/>
      <c r="D40" s="50"/>
      <c r="E40" s="50"/>
      <c r="F40" s="50"/>
      <c r="G40" s="50"/>
    </row>
    <row r="41" spans="1:7" x14ac:dyDescent="0.25">
      <c r="A41" s="50"/>
      <c r="B41" s="50"/>
      <c r="C41" s="50"/>
      <c r="D41" s="50"/>
      <c r="E41" s="50"/>
      <c r="F41" s="50"/>
      <c r="G41" s="50"/>
    </row>
    <row r="42" spans="1:7" x14ac:dyDescent="0.25">
      <c r="A42" s="50"/>
      <c r="B42" s="50"/>
      <c r="C42" s="50"/>
      <c r="D42" s="50"/>
      <c r="E42" s="50"/>
      <c r="F42" s="50"/>
      <c r="G42" s="50"/>
    </row>
    <row r="43" spans="1:7" x14ac:dyDescent="0.25">
      <c r="A43" s="50"/>
      <c r="B43" s="50"/>
      <c r="C43" s="50"/>
      <c r="D43" s="50"/>
      <c r="E43" s="50"/>
      <c r="F43" s="50"/>
      <c r="G43" s="50"/>
    </row>
    <row r="44" spans="1:7" x14ac:dyDescent="0.25">
      <c r="A44" s="50"/>
      <c r="B44" s="50"/>
      <c r="C44" s="50"/>
      <c r="D44" s="50"/>
      <c r="E44" s="50"/>
      <c r="F44" s="50"/>
      <c r="G44" s="50"/>
    </row>
    <row r="45" spans="1:7" x14ac:dyDescent="0.25">
      <c r="A45" s="50"/>
      <c r="B45" s="50"/>
      <c r="C45" s="50"/>
      <c r="D45" s="50"/>
      <c r="E45" s="50"/>
      <c r="F45" s="50"/>
      <c r="G45" s="50"/>
    </row>
    <row r="46" spans="1:7" x14ac:dyDescent="0.25">
      <c r="A46" s="50"/>
      <c r="B46" s="50"/>
      <c r="C46" s="50"/>
      <c r="D46" s="50"/>
      <c r="E46" s="50"/>
      <c r="F46" s="50"/>
      <c r="G46" s="50"/>
    </row>
    <row r="47" spans="1:7" x14ac:dyDescent="0.25">
      <c r="A47" s="50"/>
      <c r="B47" s="50"/>
      <c r="C47" s="50"/>
      <c r="D47" s="50"/>
      <c r="E47" s="50"/>
      <c r="F47" s="50"/>
      <c r="G47" s="50"/>
    </row>
    <row r="48" spans="1:7" x14ac:dyDescent="0.25">
      <c r="A48" s="50"/>
      <c r="B48" s="50"/>
      <c r="C48" s="50"/>
      <c r="D48" s="50"/>
      <c r="E48" s="50"/>
      <c r="F48" s="50"/>
      <c r="G48" s="50"/>
    </row>
    <row r="49" spans="1:7" x14ac:dyDescent="0.25">
      <c r="A49" s="50"/>
      <c r="B49" s="50"/>
      <c r="C49" s="50"/>
      <c r="D49" s="50"/>
      <c r="E49" s="50"/>
      <c r="F49" s="50"/>
      <c r="G49" s="50"/>
    </row>
    <row r="50" spans="1:7" x14ac:dyDescent="0.25">
      <c r="A50" s="50"/>
      <c r="B50" s="50"/>
      <c r="C50" s="50"/>
      <c r="D50" s="50"/>
      <c r="E50" s="50"/>
      <c r="F50" s="50"/>
      <c r="G50" s="50"/>
    </row>
    <row r="51" spans="1:7" x14ac:dyDescent="0.25">
      <c r="A51" s="50"/>
      <c r="B51" s="50"/>
      <c r="C51" s="50"/>
      <c r="D51" s="50"/>
      <c r="E51" s="50"/>
      <c r="F51" s="50"/>
      <c r="G51" s="50"/>
    </row>
    <row r="52" spans="1:7" x14ac:dyDescent="0.25">
      <c r="A52" s="50"/>
      <c r="B52" s="50"/>
      <c r="C52" s="50"/>
      <c r="D52" s="50"/>
      <c r="E52" s="50"/>
      <c r="F52" s="50"/>
      <c r="G52" s="50"/>
    </row>
    <row r="53" spans="1:7" x14ac:dyDescent="0.25">
      <c r="A53" s="50"/>
      <c r="B53" s="50"/>
      <c r="C53" s="50"/>
      <c r="D53" s="50"/>
      <c r="E53" s="50"/>
      <c r="F53" s="50"/>
      <c r="G53" s="50"/>
    </row>
    <row r="54" spans="1:7" x14ac:dyDescent="0.25">
      <c r="A54" s="50"/>
      <c r="B54" s="50"/>
      <c r="C54" s="50"/>
      <c r="D54" s="50"/>
      <c r="E54" s="50"/>
      <c r="F54" s="50"/>
      <c r="G54" s="50"/>
    </row>
    <row r="55" spans="1:7" x14ac:dyDescent="0.25">
      <c r="A55" s="50"/>
      <c r="B55" s="50"/>
      <c r="C55" s="50"/>
      <c r="D55" s="50"/>
      <c r="E55" s="50"/>
      <c r="F55" s="50"/>
      <c r="G55" s="50"/>
    </row>
    <row r="56" spans="1:7" x14ac:dyDescent="0.25">
      <c r="A56" s="50"/>
      <c r="B56" s="50"/>
      <c r="C56" s="50"/>
      <c r="D56" s="50"/>
      <c r="E56" s="50"/>
      <c r="F56" s="50"/>
      <c r="G56" s="50"/>
    </row>
    <row r="57" spans="1:7" x14ac:dyDescent="0.25">
      <c r="A57" s="50"/>
      <c r="B57" s="50"/>
      <c r="C57" s="50"/>
      <c r="D57" s="50"/>
      <c r="E57" s="50"/>
      <c r="F57" s="50"/>
      <c r="G57" s="50"/>
    </row>
    <row r="58" spans="1:7" x14ac:dyDescent="0.25">
      <c r="A58" s="50"/>
      <c r="B58" s="50"/>
      <c r="C58" s="50"/>
      <c r="D58" s="50"/>
      <c r="E58" s="50"/>
      <c r="F58" s="50"/>
      <c r="G58" s="50"/>
    </row>
    <row r="59" spans="1:7" x14ac:dyDescent="0.25">
      <c r="A59" s="50"/>
      <c r="B59" s="50"/>
      <c r="C59" s="50"/>
      <c r="D59" s="50"/>
      <c r="E59" s="50"/>
      <c r="F59" s="50"/>
      <c r="G59" s="50"/>
    </row>
    <row r="60" spans="1:7" x14ac:dyDescent="0.25">
      <c r="A60" s="50"/>
      <c r="B60" s="50"/>
      <c r="C60" s="50"/>
      <c r="D60" s="50"/>
      <c r="E60" s="50"/>
      <c r="F60" s="50"/>
      <c r="G60" s="50"/>
    </row>
    <row r="61" spans="1:7" x14ac:dyDescent="0.25">
      <c r="A61" s="50"/>
      <c r="B61" s="50"/>
      <c r="C61" s="50"/>
      <c r="D61" s="50"/>
      <c r="E61" s="50"/>
      <c r="F61" s="50"/>
      <c r="G61" s="50"/>
    </row>
    <row r="62" spans="1:7" x14ac:dyDescent="0.25">
      <c r="A62" s="50"/>
      <c r="B62" s="50"/>
      <c r="C62" s="50"/>
      <c r="D62" s="50"/>
      <c r="E62" s="50"/>
      <c r="F62" s="50"/>
      <c r="G62" s="50"/>
    </row>
    <row r="63" spans="1:7" x14ac:dyDescent="0.25">
      <c r="A63" s="50"/>
      <c r="B63" s="50"/>
      <c r="C63" s="50"/>
      <c r="D63" s="50"/>
      <c r="E63" s="50"/>
      <c r="F63" s="50"/>
      <c r="G63" s="50"/>
    </row>
    <row r="64" spans="1:7" x14ac:dyDescent="0.25">
      <c r="A64" s="50"/>
      <c r="B64" s="50"/>
      <c r="C64" s="50"/>
      <c r="D64" s="50"/>
      <c r="E64" s="50"/>
      <c r="F64" s="50"/>
      <c r="G64" s="50"/>
    </row>
    <row r="65" spans="1:7" x14ac:dyDescent="0.25">
      <c r="A65" s="50"/>
      <c r="B65" s="50"/>
      <c r="C65" s="50"/>
      <c r="D65" s="50"/>
      <c r="E65" s="50"/>
      <c r="F65" s="50"/>
      <c r="G65" s="50"/>
    </row>
    <row r="66" spans="1:7" x14ac:dyDescent="0.25">
      <c r="A66" s="50"/>
      <c r="B66" s="50"/>
      <c r="C66" s="50"/>
      <c r="D66" s="50"/>
      <c r="E66" s="50"/>
      <c r="F66" s="50"/>
      <c r="G66" s="50"/>
    </row>
    <row r="67" spans="1:7" x14ac:dyDescent="0.25">
      <c r="A67" s="50"/>
      <c r="B67" s="50"/>
      <c r="C67" s="50"/>
      <c r="D67" s="50"/>
      <c r="E67" s="50"/>
      <c r="F67" s="50"/>
      <c r="G67" s="50"/>
    </row>
    <row r="68" spans="1:7" x14ac:dyDescent="0.25">
      <c r="A68" s="50"/>
      <c r="B68" s="50"/>
      <c r="C68" s="50"/>
      <c r="D68" s="50"/>
      <c r="E68" s="50"/>
      <c r="F68" s="50"/>
      <c r="G68" s="50"/>
    </row>
    <row r="69" spans="1:7" x14ac:dyDescent="0.25">
      <c r="A69" s="50"/>
      <c r="B69" s="50"/>
      <c r="C69" s="50"/>
      <c r="D69" s="50"/>
      <c r="E69" s="50"/>
      <c r="F69" s="50"/>
      <c r="G69" s="50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RF_IN_01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2026-06-21T20:26:04Z</dcterms:modified>
</cp:coreProperties>
</file>