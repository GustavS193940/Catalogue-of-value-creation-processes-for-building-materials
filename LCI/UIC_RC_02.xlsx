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C0D4FD86-EF11-46E2-A01D-89033692D1AB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UIC_LF_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7" i="1" l="1"/>
  <c r="F18" i="1"/>
  <c r="F16" i="1" l="1"/>
  <c r="F15" i="1" l="1"/>
</calcChain>
</file>

<file path=xl/sharedStrings.xml><?xml version="1.0" encoding="utf-8"?>
<sst xmlns="http://schemas.openxmlformats.org/spreadsheetml/2006/main" count="42" uniqueCount="36">
  <si>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</si>
  <si>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</si>
  <si>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</si>
  <si>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</si>
  <si>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</si>
  <si>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</si>
  <si>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</si>
  <si>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</si>
  <si>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</si>
  <si>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</si>
  <si>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</si>
  <si>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</si>
  <si>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</si>
  <si>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</si>
  <si>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</si>
  <si>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</si>
  <si>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</si>
  <si>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</si>
  <si>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</si>
  <si>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</si>
  <si>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</si>
  <si>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Diesel, burned in building machine {GLO}| market for diesel, burned in building machine | Cut-off, S</t>
  </si>
  <si>
    <t>MJ</t>
  </si>
  <si>
    <t>Page 1 of 1</t>
  </si>
  <si>
    <t>tkm</t>
  </si>
  <si>
    <t>Unreinforced Insitu Concrete</t>
  </si>
  <si>
    <t>1 m³</t>
  </si>
  <si>
    <t>kg/m³</t>
  </si>
  <si>
    <t>Mass factor determined from BR18, appendix 2, table 7 ID #B1441.
Diesel density assumed to be 0.845 kg/L with an energy density of 42.7 MJ/kg.
[1] Miljøstyrelsen: https://www2.mst.dk/Udgiv/publikationer/2022/02/978-87-7038-353-0.pdf</t>
  </si>
  <si>
    <t>Crushing</t>
  </si>
  <si>
    <t>Rock crushing {RER}| rock crushing | Cut-off, S</t>
  </si>
  <si>
    <t>Avoided gravel</t>
  </si>
  <si>
    <t>Gravel, crushed {RoW}| market for gravel, crushed | Cut-off, S</t>
  </si>
  <si>
    <t>Recycling (Road Fill)</t>
  </si>
  <si>
    <t>UIC_RC_02 - Life Cycle Inventory</t>
  </si>
  <si>
    <t>1 m³ concrete is extracted from the building using diesel-driven machinery. Assumed diesel use of 1.4 L/t material based on a report from the Danish Environmental Protection Agency [1]. The concrete is transported 100 km by truck to a facility in Denmark where it is crushed into rubble, which replaces gravel in road fill.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</si>
</sst>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3" borderId="1" xfId="0" applyNumberFormat="1" applyFill="1" applyBorder="1" applyAlignment="1">
      <alignment vertical="center"/>
    </xf>
    <xf numFmtId="1" fontId="0" fillId="3" borderId="15" xfId="0" applyNumberFormat="1" applyFill="1" applyBorder="1" applyAlignment="1">
      <alignment vertical="center"/>
    </xf>
    <xf numFmtId="1" fontId="0" fillId="3" borderId="8" xfId="0" applyNumberFormat="1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" fontId="0" fillId="3" borderId="10" xfId="0" applyNumberFormat="1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8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/>
    <xf numFmtId="0" fontId="0" fillId="3" borderId="15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9"/>
  <sheetViews>
    <sheetView tabSelected="1" view="pageLayout" zoomScaleNormal="100" workbookViewId="0">
      <selection activeCell="F8" sqref="F8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34</v>
      </c>
      <c r="B1" s="2"/>
      <c r="C1" s="21" t="s">
        <v>23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34" t="s">
        <v>25</v>
      </c>
      <c r="C3" s="35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26</v>
      </c>
      <c r="C5" s="4"/>
      <c r="D5" s="4"/>
      <c r="E5" s="4"/>
      <c r="F5" s="4"/>
      <c r="G5" s="4"/>
    </row>
    <row r="6" spans="1:7" x14ac:dyDescent="0.25">
      <c r="A6" s="5" t="s">
        <v>2</v>
      </c>
      <c r="B6" s="22">
        <v>2267</v>
      </c>
      <c r="C6" s="4" t="s">
        <v>27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5" t="s">
        <v>33</v>
      </c>
      <c r="C8" s="46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93" customHeight="1" thickBot="1" x14ac:dyDescent="0.3">
      <c r="A11" s="36" t="s">
        <v>35</v>
      </c>
      <c r="B11" s="37"/>
      <c r="C11" s="37"/>
      <c r="D11" s="37"/>
      <c r="E11" s="37"/>
      <c r="F11" s="37"/>
      <c r="G11" s="38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49" t="s">
        <v>19</v>
      </c>
      <c r="C14" s="49"/>
      <c r="D14" s="49"/>
      <c r="E14" s="49"/>
      <c r="F14" s="9" t="s">
        <v>8</v>
      </c>
      <c r="G14" s="10" t="s">
        <v>1</v>
      </c>
    </row>
    <row r="15" spans="1:7" ht="32.25" customHeight="1" x14ac:dyDescent="0.25">
      <c r="A15" s="11" t="s">
        <v>20</v>
      </c>
      <c r="B15" s="31" t="s">
        <v>21</v>
      </c>
      <c r="C15" s="31"/>
      <c r="D15" s="31"/>
      <c r="E15" s="31"/>
      <c r="F15" s="25">
        <f>B6*1.4/1000*0.845*42.7</f>
        <v>114.5154647</v>
      </c>
      <c r="G15" s="12" t="s">
        <v>22</v>
      </c>
    </row>
    <row r="16" spans="1:7" ht="45" customHeight="1" x14ac:dyDescent="0.25">
      <c r="A16" s="19" t="s">
        <v>9</v>
      </c>
      <c r="B16" s="50" t="s">
        <v>18</v>
      </c>
      <c r="C16" s="50"/>
      <c r="D16" s="50"/>
      <c r="E16" s="50"/>
      <c r="F16" s="24">
        <f>B6*100/1000</f>
        <v>226.7</v>
      </c>
      <c r="G16" s="20" t="s">
        <v>24</v>
      </c>
    </row>
    <row r="17" spans="1:7" x14ac:dyDescent="0.25">
      <c r="A17" s="26" t="s">
        <v>29</v>
      </c>
      <c r="B17" s="32" t="s">
        <v>30</v>
      </c>
      <c r="C17" s="32"/>
      <c r="D17" s="32"/>
      <c r="E17" s="32"/>
      <c r="F17" s="27">
        <f>B6</f>
        <v>2267</v>
      </c>
      <c r="G17" s="28" t="s">
        <v>10</v>
      </c>
    </row>
    <row r="18" spans="1:7" ht="32.25" customHeight="1" thickBot="1" x14ac:dyDescent="0.3">
      <c r="A18" s="7" t="s">
        <v>31</v>
      </c>
      <c r="B18" s="33" t="s">
        <v>32</v>
      </c>
      <c r="C18" s="33"/>
      <c r="D18" s="33"/>
      <c r="E18" s="33"/>
      <c r="F18" s="23">
        <f>-B6</f>
        <v>-2267</v>
      </c>
      <c r="G18" s="13" t="s">
        <v>10</v>
      </c>
    </row>
    <row r="19" spans="1:7" x14ac:dyDescent="0.25">
      <c r="A19" s="4"/>
      <c r="B19" s="4"/>
      <c r="C19" s="4"/>
      <c r="D19" s="4"/>
      <c r="E19" s="4"/>
      <c r="F19" s="4"/>
      <c r="G19" s="4"/>
    </row>
    <row r="20" spans="1:7" ht="15.75" thickBot="1" x14ac:dyDescent="0.3">
      <c r="A20" s="5" t="s">
        <v>11</v>
      </c>
      <c r="B20" s="4"/>
      <c r="C20" s="4"/>
      <c r="D20" s="4"/>
      <c r="E20" s="4"/>
      <c r="F20" s="4"/>
      <c r="G20" s="4"/>
    </row>
    <row r="21" spans="1:7" ht="47.25" thickBot="1" x14ac:dyDescent="0.4">
      <c r="A21" s="8" t="s">
        <v>3</v>
      </c>
      <c r="B21" s="14" t="s">
        <v>16</v>
      </c>
      <c r="C21" s="14" t="s">
        <v>13</v>
      </c>
      <c r="D21" s="47" t="s">
        <v>14</v>
      </c>
      <c r="E21" s="47"/>
      <c r="F21" s="47" t="s">
        <v>15</v>
      </c>
      <c r="G21" s="48"/>
    </row>
    <row r="22" spans="1:7" x14ac:dyDescent="0.25">
      <c r="A22" s="11" t="s">
        <v>20</v>
      </c>
      <c r="B22" s="16">
        <v>11.8</v>
      </c>
      <c r="C22" s="16">
        <v>8.2900000000000001E-2</v>
      </c>
      <c r="D22" s="41">
        <v>1.9E-2</v>
      </c>
      <c r="E22" s="41"/>
      <c r="F22" s="41">
        <v>3.46</v>
      </c>
      <c r="G22" s="42"/>
    </row>
    <row r="23" spans="1:7" x14ac:dyDescent="0.25">
      <c r="A23" s="19" t="s">
        <v>9</v>
      </c>
      <c r="B23" s="15">
        <v>43.4</v>
      </c>
      <c r="C23" s="15">
        <v>1.93</v>
      </c>
      <c r="D23" s="29">
        <v>0.114</v>
      </c>
      <c r="E23" s="29"/>
      <c r="F23" s="29">
        <v>13.7</v>
      </c>
      <c r="G23" s="30"/>
    </row>
    <row r="24" spans="1:7" x14ac:dyDescent="0.25">
      <c r="A24" s="26" t="s">
        <v>29</v>
      </c>
      <c r="B24" s="15">
        <v>0.60899999999999999</v>
      </c>
      <c r="C24" s="15">
        <v>1.84E-2</v>
      </c>
      <c r="D24" s="29">
        <v>1.9400000000000001E-3</v>
      </c>
      <c r="E24" s="29"/>
      <c r="F24" s="29">
        <v>0.16700000000000001</v>
      </c>
      <c r="G24" s="30"/>
    </row>
    <row r="25" spans="1:7" ht="15.75" thickBot="1" x14ac:dyDescent="0.3">
      <c r="A25" s="7" t="s">
        <v>31</v>
      </c>
      <c r="B25" s="17">
        <v>-42.3</v>
      </c>
      <c r="C25" s="17">
        <v>-5.15</v>
      </c>
      <c r="D25" s="39">
        <v>-0.192</v>
      </c>
      <c r="E25" s="39"/>
      <c r="F25" s="39">
        <v>-11.8</v>
      </c>
      <c r="G25" s="43"/>
    </row>
    <row r="26" spans="1:7" ht="15.75" thickBot="1" x14ac:dyDescent="0.3">
      <c r="A26" s="8" t="s">
        <v>17</v>
      </c>
      <c r="B26" s="18">
        <v>13.5</v>
      </c>
      <c r="C26" s="18">
        <v>-3.12</v>
      </c>
      <c r="D26" s="40">
        <v>-5.6300000000000003E-2</v>
      </c>
      <c r="E26" s="40"/>
      <c r="F26" s="40">
        <v>5.5</v>
      </c>
      <c r="G26" s="44"/>
    </row>
    <row r="27" spans="1:7" x14ac:dyDescent="0.25">
      <c r="A27" s="4"/>
      <c r="B27" s="4"/>
      <c r="C27" s="4"/>
      <c r="D27" s="4"/>
      <c r="E27" s="4"/>
      <c r="F27" s="4"/>
      <c r="G27" s="4"/>
    </row>
    <row r="28" spans="1:7" ht="15.75" thickBot="1" x14ac:dyDescent="0.3">
      <c r="A28" s="5" t="s">
        <v>12</v>
      </c>
      <c r="B28" s="4"/>
      <c r="C28" s="4"/>
      <c r="D28" s="4"/>
      <c r="E28" s="4"/>
      <c r="F28" s="4"/>
      <c r="G28" s="4"/>
    </row>
    <row r="29" spans="1:7" ht="114.75" customHeight="1" thickBot="1" x14ac:dyDescent="0.3">
      <c r="A29" s="36" t="s">
        <v>28</v>
      </c>
      <c r="B29" s="37"/>
      <c r="C29" s="37"/>
      <c r="D29" s="37"/>
      <c r="E29" s="37"/>
      <c r="F29" s="37"/>
      <c r="G29" s="38"/>
    </row>
  </sheetData>
  <mergeCells count="21">
    <mergeCell ref="B3:C3"/>
    <mergeCell ref="A29:G29"/>
    <mergeCell ref="D25:E25"/>
    <mergeCell ref="D26:E26"/>
    <mergeCell ref="F22:G22"/>
    <mergeCell ref="F23:G23"/>
    <mergeCell ref="F25:G25"/>
    <mergeCell ref="F26:G26"/>
    <mergeCell ref="B8:C8"/>
    <mergeCell ref="D21:E21"/>
    <mergeCell ref="F21:G21"/>
    <mergeCell ref="D22:E22"/>
    <mergeCell ref="D23:E23"/>
    <mergeCell ref="A11:G11"/>
    <mergeCell ref="B14:E14"/>
    <mergeCell ref="B16:E16"/>
    <mergeCell ref="F24:G24"/>
    <mergeCell ref="B15:E15"/>
    <mergeCell ref="B17:E17"/>
    <mergeCell ref="B18:E18"/>
    <mergeCell ref="D24:E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UIC_LF_02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2026-06-18T18:20:47Z</dcterms:modified>
</cp:coreProperties>
</file>