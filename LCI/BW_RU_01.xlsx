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EEC2E616-0FA0-47A6-BB56-C2DF98A5B04C}" xr6:coauthVersionLast="47" xr6:coauthVersionMax="47" xr10:uidLastSave="{00000000-0000-0000-0000-000000000000}"/>
  <bookViews>
    <workbookView xWindow="0" yWindow="300" windowWidth="29040" windowHeight="15840" xr2:uid="{DB1217F5-3EDD-4456-A020-305ADC7C8E64}"/>
  </bookViews>
  <sheets>
    <sheet name="BW_RU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20" i="1"/>
  <c r="F16" i="1"/>
  <c r="F18" i="1"/>
  <c r="F19" i="1" s="1"/>
  <c r="B6" i="1" l="1"/>
  <c r="F15" i="1" l="1"/>
</calcChain>
</file>

<file path=xl/sharedStrings.xml><?xml version="1.0" encoding="utf-8"?>
<sst xmlns="http://schemas.openxmlformats.org/spreadsheetml/2006/main" count="52" uniqueCount="40">
  <si>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</si>
  <si>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</si>
  <si>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</si>
  <si>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</si>
  <si>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</si>
  <si>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</si>
  <si>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</si>
  <si>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</si>
  <si>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</si>
  <si>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</si>
  <si>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</si>
  <si>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</si>
  <si>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</si>
  <si>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</si>
  <si>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</si>
  <si>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</si>
  <si>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</si>
  <si>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</si>
  <si>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</si>
  <si>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</si>
  <si>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1 m²</t>
  </si>
  <si>
    <t>kg/m²</t>
  </si>
  <si>
    <t>Brick Wall</t>
  </si>
  <si>
    <t>tkm</t>
  </si>
  <si>
    <t>Rock crushing {RER}| rock crushing | Cut-off, S</t>
  </si>
  <si>
    <t>Avoided gravel</t>
  </si>
  <si>
    <t>Gravel, crushed {RoW}| market for gravel, crushed | Cut-off, S</t>
  </si>
  <si>
    <t>BW_RU_01 - Life Cycle Inventory</t>
  </si>
  <si>
    <t>Reuse (Individual Bricks)</t>
  </si>
  <si>
    <t>Mass factor determined from BR18, appendix 2, table 7 ID #D1508, assumption of 0.084 m³ of bricks (1800 kg/m³) with 63 kg of mortar per m² wall. Rounded to 3 significant figures.
Brick cleaner at 250 W can clean 1000 bricks per 7 hour work day, equating 6.30 kJ/brick or 2.58 kJ/kg [2].
[1] Genbrugssten FAQ: https://genbrugssten.dk/faq/
[2] Paoloni Old Brick Cleaner: https://www.paolonimachinery.com/en/old-bricks-tiles-cleaner-machine-beton-mortar-cement-concrete-scraper-scalpellina</t>
  </si>
  <si>
    <t>1 m² brick wall (including mortar) is extracted from the building by hand. The brick and mortar are transported 100 km by truck to a facility in Denmark where whole and half bricks are cleaned for reuse. Assumed 50% of bricks are reusable based on 30-40 bricks/m² estimate by Genbrugssten [1]. Electricity use assumed as 2.58 kJ/kg bricks calculated based on a Paoloni brick cleaner [2] . The remaining brick and mortar are transported another 100 km by truck to a facility in Denmark where it is crushed into rubble, which replaces gravel in road fill.
.</t>
  </si>
  <si>
    <t>Brick cleaning</t>
  </si>
  <si>
    <t>Electricity, low voltage {DK}| market for | Cut-off, S</t>
  </si>
  <si>
    <t>kJ</t>
  </si>
  <si>
    <t>Avoided clay bricks</t>
  </si>
  <si>
    <t>Page 2 of 2</t>
  </si>
  <si>
    <t>Page 1 of 2</t>
  </si>
  <si>
    <t>Transportation of residual</t>
  </si>
  <si>
    <t>Crushing of residual</t>
  </si>
  <si>
    <t>Clay brick {RoW}| market for clay brick | Cut-off,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</si>
</sst>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64" fontId="0" fillId="3" borderId="15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0" fontId="3" fillId="3" borderId="0" xfId="0" applyFont="1" applyFill="1"/>
    <xf numFmtId="0" fontId="0" fillId="3" borderId="14" xfId="0" applyFill="1" applyBorder="1" applyAlignment="1">
      <alignment vertical="center" wrapText="1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73"/>
  <sheetViews>
    <sheetView tabSelected="1" view="pageLayout" topLeftCell="A6" zoomScaleNormal="100" workbookViewId="0">
      <selection activeCell="B15" sqref="B15:E1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0" t="s">
        <v>36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22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20</v>
      </c>
      <c r="C5" s="4"/>
      <c r="D5" s="4"/>
      <c r="E5" s="4"/>
      <c r="F5" s="4"/>
      <c r="G5" s="4"/>
    </row>
    <row r="6" spans="1:7" x14ac:dyDescent="0.25">
      <c r="A6" s="5" t="s">
        <v>2</v>
      </c>
      <c r="B6" s="21">
        <f>0.084*1800+63</f>
        <v>214.20000000000002</v>
      </c>
      <c r="C6" s="4" t="s">
        <v>21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41" t="s">
        <v>28</v>
      </c>
      <c r="C8" s="42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91.5" customHeight="1" thickBot="1" x14ac:dyDescent="0.3">
      <c r="A11" s="30" t="s">
        <v>30</v>
      </c>
      <c r="B11" s="31"/>
      <c r="C11" s="31"/>
      <c r="D11" s="31"/>
      <c r="E11" s="31"/>
      <c r="F11" s="31"/>
      <c r="G11" s="32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5" t="s">
        <v>19</v>
      </c>
      <c r="C14" s="45"/>
      <c r="D14" s="45"/>
      <c r="E14" s="45"/>
      <c r="F14" s="10" t="s">
        <v>8</v>
      </c>
      <c r="G14" s="11" t="s">
        <v>1</v>
      </c>
    </row>
    <row r="15" spans="1:7" ht="45" customHeight="1" x14ac:dyDescent="0.25">
      <c r="A15" s="18" t="s">
        <v>9</v>
      </c>
      <c r="B15" s="46" t="s">
        <v>18</v>
      </c>
      <c r="C15" s="46"/>
      <c r="D15" s="46"/>
      <c r="E15" s="46"/>
      <c r="F15" s="22">
        <f>B6*100/1000</f>
        <v>21.42</v>
      </c>
      <c r="G15" s="19" t="s">
        <v>23</v>
      </c>
    </row>
    <row r="16" spans="1:7" x14ac:dyDescent="0.25">
      <c r="A16" s="18" t="s">
        <v>31</v>
      </c>
      <c r="B16" s="46" t="s">
        <v>32</v>
      </c>
      <c r="C16" s="46"/>
      <c r="D16" s="46"/>
      <c r="E16" s="46"/>
      <c r="F16" s="26">
        <f>2.58*(0.084*1800)/2</f>
        <v>195.04800000000003</v>
      </c>
      <c r="G16" s="19" t="s">
        <v>33</v>
      </c>
    </row>
    <row r="17" spans="1:7" ht="45" customHeight="1" x14ac:dyDescent="0.25">
      <c r="A17" s="29" t="s">
        <v>37</v>
      </c>
      <c r="B17" s="46" t="s">
        <v>18</v>
      </c>
      <c r="C17" s="46"/>
      <c r="D17" s="46"/>
      <c r="E17" s="46"/>
      <c r="F17" s="22">
        <f>(0.084/2*1800+63)*100/1000</f>
        <v>13.860000000000001</v>
      </c>
      <c r="G17" s="19" t="s">
        <v>23</v>
      </c>
    </row>
    <row r="18" spans="1:7" x14ac:dyDescent="0.25">
      <c r="A18" s="23" t="s">
        <v>38</v>
      </c>
      <c r="B18" s="48" t="s">
        <v>24</v>
      </c>
      <c r="C18" s="48"/>
      <c r="D18" s="48"/>
      <c r="E18" s="48"/>
      <c r="F18" s="25">
        <f>0.084/2*1800+63</f>
        <v>138.60000000000002</v>
      </c>
      <c r="G18" s="24" t="s">
        <v>10</v>
      </c>
    </row>
    <row r="19" spans="1:7" ht="32.25" customHeight="1" x14ac:dyDescent="0.25">
      <c r="A19" s="23" t="s">
        <v>25</v>
      </c>
      <c r="B19" s="48" t="s">
        <v>26</v>
      </c>
      <c r="C19" s="48"/>
      <c r="D19" s="48"/>
      <c r="E19" s="48"/>
      <c r="F19" s="25">
        <f>-F18</f>
        <v>-138.60000000000002</v>
      </c>
      <c r="G19" s="24" t="s">
        <v>10</v>
      </c>
    </row>
    <row r="20" spans="1:7" ht="15.75" thickBot="1" x14ac:dyDescent="0.3">
      <c r="A20" s="8" t="s">
        <v>34</v>
      </c>
      <c r="B20" s="47" t="s">
        <v>39</v>
      </c>
      <c r="C20" s="47"/>
      <c r="D20" s="47"/>
      <c r="E20" s="47"/>
      <c r="F20" s="27">
        <f>-(0.084*1800)/2</f>
        <v>-75.600000000000009</v>
      </c>
      <c r="G20" s="12" t="s">
        <v>10</v>
      </c>
    </row>
    <row r="21" spans="1:7" x14ac:dyDescent="0.25">
      <c r="A21" s="4"/>
      <c r="B21" s="4"/>
      <c r="C21" s="4"/>
      <c r="D21" s="4"/>
      <c r="E21" s="4"/>
      <c r="F21" s="4"/>
      <c r="G21" s="4"/>
    </row>
    <row r="22" spans="1:7" ht="15.75" thickBot="1" x14ac:dyDescent="0.3">
      <c r="A22" s="5" t="s">
        <v>11</v>
      </c>
      <c r="B22" s="4"/>
      <c r="C22" s="4"/>
      <c r="D22" s="4"/>
      <c r="E22" s="4"/>
      <c r="F22" s="4"/>
      <c r="G22" s="4"/>
    </row>
    <row r="23" spans="1:7" ht="47.25" thickBot="1" x14ac:dyDescent="0.4">
      <c r="A23" s="9" t="s">
        <v>3</v>
      </c>
      <c r="B23" s="13" t="s">
        <v>16</v>
      </c>
      <c r="C23" s="13" t="s">
        <v>13</v>
      </c>
      <c r="D23" s="43" t="s">
        <v>14</v>
      </c>
      <c r="E23" s="43"/>
      <c r="F23" s="43" t="s">
        <v>15</v>
      </c>
      <c r="G23" s="44"/>
    </row>
    <row r="24" spans="1:7" x14ac:dyDescent="0.25">
      <c r="A24" s="18" t="s">
        <v>9</v>
      </c>
      <c r="B24" s="15">
        <v>4.09</v>
      </c>
      <c r="C24" s="15">
        <v>0.182</v>
      </c>
      <c r="D24" s="35">
        <v>1.0800000000000001E-2</v>
      </c>
      <c r="E24" s="35"/>
      <c r="F24" s="35">
        <v>1.29</v>
      </c>
      <c r="G24" s="36"/>
    </row>
    <row r="25" spans="1:7" x14ac:dyDescent="0.25">
      <c r="A25" s="18" t="s">
        <v>31</v>
      </c>
      <c r="B25" s="14">
        <v>9.6699999999999998E-3</v>
      </c>
      <c r="C25" s="14">
        <v>2.1900000000000001E-3</v>
      </c>
      <c r="D25" s="37">
        <v>8.4099999999999998E-5</v>
      </c>
      <c r="E25" s="37"/>
      <c r="F25" s="37">
        <v>2.3900000000000002E-3</v>
      </c>
      <c r="G25" s="38"/>
    </row>
    <row r="26" spans="1:7" ht="30" x14ac:dyDescent="0.25">
      <c r="A26" s="29" t="s">
        <v>37</v>
      </c>
      <c r="B26" s="14">
        <v>2.8</v>
      </c>
      <c r="C26" s="14">
        <v>0.123</v>
      </c>
      <c r="D26" s="37">
        <v>7.4799999999999997E-3</v>
      </c>
      <c r="E26" s="37"/>
      <c r="F26" s="37">
        <v>0.872</v>
      </c>
      <c r="G26" s="38"/>
    </row>
    <row r="27" spans="1:7" x14ac:dyDescent="0.25">
      <c r="A27" s="23" t="s">
        <v>38</v>
      </c>
      <c r="B27" s="14">
        <v>3.7400000000000003E-2</v>
      </c>
      <c r="C27" s="14">
        <v>1.1299999999999999E-3</v>
      </c>
      <c r="D27" s="37">
        <v>1.1900000000000001E-4</v>
      </c>
      <c r="E27" s="37"/>
      <c r="F27" s="37">
        <v>1.0200000000000001E-2</v>
      </c>
      <c r="G27" s="38"/>
    </row>
    <row r="28" spans="1:7" x14ac:dyDescent="0.25">
      <c r="A28" s="23" t="s">
        <v>25</v>
      </c>
      <c r="B28" s="14">
        <v>-2.59</v>
      </c>
      <c r="C28" s="14">
        <v>-0.316</v>
      </c>
      <c r="D28" s="37">
        <v>-1.18E-2</v>
      </c>
      <c r="E28" s="37"/>
      <c r="F28" s="37">
        <v>-0.72399999999999998</v>
      </c>
      <c r="G28" s="38"/>
    </row>
    <row r="29" spans="1:7" ht="15.75" thickBot="1" x14ac:dyDescent="0.3">
      <c r="A29" s="8" t="s">
        <v>34</v>
      </c>
      <c r="B29" s="16">
        <v>-25.5</v>
      </c>
      <c r="C29" s="16">
        <v>-0.94899999999999995</v>
      </c>
      <c r="D29" s="33">
        <v>-1.1200000000000001</v>
      </c>
      <c r="E29" s="33"/>
      <c r="F29" s="33">
        <v>-5.96</v>
      </c>
      <c r="G29" s="39"/>
    </row>
    <row r="30" spans="1:7" ht="15.75" thickBot="1" x14ac:dyDescent="0.3">
      <c r="A30" s="9" t="s">
        <v>17</v>
      </c>
      <c r="B30" s="17">
        <v>-21.2</v>
      </c>
      <c r="C30" s="17">
        <v>-0.95599999999999996</v>
      </c>
      <c r="D30" s="34">
        <v>-1.1200000000000001</v>
      </c>
      <c r="E30" s="34"/>
      <c r="F30" s="34">
        <v>-4.51</v>
      </c>
      <c r="G30" s="40"/>
    </row>
    <row r="31" spans="1:7" ht="57.75" customHeight="1" x14ac:dyDescent="0.25">
      <c r="A31" s="4"/>
      <c r="B31" s="4"/>
      <c r="C31" s="4"/>
      <c r="D31" s="4"/>
      <c r="E31" s="4"/>
      <c r="F31" s="4"/>
      <c r="G31" s="4"/>
    </row>
    <row r="32" spans="1:7" s="1" customFormat="1" ht="15.75" thickBot="1" x14ac:dyDescent="0.3">
      <c r="A32" s="2" t="s">
        <v>27</v>
      </c>
      <c r="B32" s="2"/>
      <c r="C32" s="20" t="s">
        <v>35</v>
      </c>
      <c r="D32" s="2"/>
      <c r="E32" s="2"/>
      <c r="F32" s="2"/>
      <c r="G32" s="3">
        <v>46191</v>
      </c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4.5" customHeight="1" thickBot="1" x14ac:dyDescent="0.3">
      <c r="A35" s="30" t="s">
        <v>29</v>
      </c>
      <c r="B35" s="31"/>
      <c r="C35" s="31"/>
      <c r="D35" s="31"/>
      <c r="E35" s="31"/>
      <c r="F35" s="31"/>
      <c r="G35" s="32"/>
    </row>
    <row r="36" spans="1:7" x14ac:dyDescent="0.25">
      <c r="A36" s="28"/>
      <c r="B36" s="28"/>
      <c r="C36" s="28"/>
      <c r="D36" s="28"/>
      <c r="E36" s="28"/>
      <c r="F36" s="28"/>
      <c r="G36" s="28"/>
    </row>
    <row r="37" spans="1:7" x14ac:dyDescent="0.25">
      <c r="A37" s="28"/>
      <c r="B37" s="28"/>
      <c r="C37" s="28"/>
      <c r="D37" s="28"/>
      <c r="E37" s="28"/>
      <c r="F37" s="28"/>
      <c r="G37" s="28"/>
    </row>
    <row r="38" spans="1:7" x14ac:dyDescent="0.25">
      <c r="A38" s="28"/>
      <c r="B38" s="28"/>
      <c r="C38" s="28"/>
      <c r="D38" s="28"/>
      <c r="E38" s="28"/>
      <c r="F38" s="28"/>
      <c r="G38" s="28"/>
    </row>
    <row r="39" spans="1:7" x14ac:dyDescent="0.25">
      <c r="A39" s="28"/>
      <c r="B39" s="28"/>
      <c r="C39" s="28"/>
      <c r="D39" s="28"/>
      <c r="E39" s="28"/>
      <c r="F39" s="28"/>
      <c r="G39" s="28"/>
    </row>
    <row r="40" spans="1:7" x14ac:dyDescent="0.25">
      <c r="A40" s="28"/>
      <c r="B40" s="28"/>
      <c r="C40" s="28"/>
      <c r="D40" s="28"/>
      <c r="E40" s="28"/>
      <c r="F40" s="28"/>
      <c r="G40" s="28"/>
    </row>
    <row r="41" spans="1:7" x14ac:dyDescent="0.25">
      <c r="A41" s="28"/>
      <c r="B41" s="28"/>
      <c r="C41" s="28"/>
      <c r="D41" s="28"/>
      <c r="E41" s="28"/>
      <c r="F41" s="28"/>
      <c r="G41" s="28"/>
    </row>
    <row r="42" spans="1:7" x14ac:dyDescent="0.25">
      <c r="A42" s="28"/>
      <c r="B42" s="28"/>
      <c r="C42" s="28"/>
      <c r="D42" s="28"/>
      <c r="E42" s="28"/>
      <c r="F42" s="28"/>
      <c r="G42" s="28"/>
    </row>
    <row r="43" spans="1:7" x14ac:dyDescent="0.25">
      <c r="A43" s="28"/>
      <c r="B43" s="28"/>
      <c r="C43" s="28"/>
      <c r="D43" s="28"/>
      <c r="E43" s="28"/>
      <c r="F43" s="28"/>
      <c r="G43" s="28"/>
    </row>
    <row r="44" spans="1:7" x14ac:dyDescent="0.25">
      <c r="A44" s="28"/>
      <c r="B44" s="28"/>
      <c r="C44" s="28"/>
      <c r="D44" s="28"/>
      <c r="E44" s="28"/>
      <c r="F44" s="28"/>
      <c r="G44" s="28"/>
    </row>
    <row r="45" spans="1:7" x14ac:dyDescent="0.25">
      <c r="A45" s="28"/>
      <c r="B45" s="28"/>
      <c r="C45" s="28"/>
      <c r="D45" s="28"/>
      <c r="E45" s="28"/>
      <c r="F45" s="28"/>
      <c r="G45" s="28"/>
    </row>
    <row r="46" spans="1:7" x14ac:dyDescent="0.25">
      <c r="A46" s="28"/>
      <c r="B46" s="28"/>
      <c r="C46" s="28"/>
      <c r="D46" s="28"/>
      <c r="E46" s="28"/>
      <c r="F46" s="28"/>
      <c r="G46" s="28"/>
    </row>
    <row r="47" spans="1:7" x14ac:dyDescent="0.25">
      <c r="A47" s="28"/>
      <c r="B47" s="28"/>
      <c r="C47" s="28"/>
      <c r="D47" s="28"/>
      <c r="E47" s="28"/>
      <c r="F47" s="28"/>
      <c r="G47" s="28"/>
    </row>
    <row r="48" spans="1:7" x14ac:dyDescent="0.25">
      <c r="A48" s="28"/>
      <c r="B48" s="28"/>
      <c r="C48" s="28"/>
      <c r="D48" s="28"/>
      <c r="E48" s="28"/>
      <c r="F48" s="28"/>
      <c r="G48" s="28"/>
    </row>
    <row r="49" spans="1:7" x14ac:dyDescent="0.25">
      <c r="A49" s="28"/>
      <c r="B49" s="28"/>
      <c r="C49" s="28"/>
      <c r="D49" s="28"/>
      <c r="E49" s="28"/>
      <c r="F49" s="28"/>
      <c r="G49" s="28"/>
    </row>
    <row r="50" spans="1:7" x14ac:dyDescent="0.25">
      <c r="A50" s="28"/>
      <c r="B50" s="28"/>
      <c r="C50" s="28"/>
      <c r="D50" s="28"/>
      <c r="E50" s="28"/>
      <c r="F50" s="28"/>
      <c r="G50" s="28"/>
    </row>
    <row r="51" spans="1:7" x14ac:dyDescent="0.25">
      <c r="A51" s="28"/>
      <c r="B51" s="28"/>
      <c r="C51" s="28"/>
      <c r="D51" s="28"/>
      <c r="E51" s="28"/>
      <c r="F51" s="28"/>
      <c r="G51" s="28"/>
    </row>
    <row r="52" spans="1:7" x14ac:dyDescent="0.25">
      <c r="A52" s="28"/>
      <c r="B52" s="28"/>
      <c r="C52" s="28"/>
      <c r="D52" s="28"/>
      <c r="E52" s="28"/>
      <c r="F52" s="28"/>
      <c r="G52" s="28"/>
    </row>
    <row r="53" spans="1:7" x14ac:dyDescent="0.25">
      <c r="A53" s="28"/>
      <c r="B53" s="28"/>
      <c r="C53" s="28"/>
      <c r="D53" s="28"/>
      <c r="E53" s="28"/>
      <c r="F53" s="28"/>
      <c r="G53" s="28"/>
    </row>
    <row r="54" spans="1:7" x14ac:dyDescent="0.25">
      <c r="A54" s="28"/>
      <c r="B54" s="28"/>
      <c r="C54" s="28"/>
      <c r="D54" s="28"/>
      <c r="E54" s="28"/>
      <c r="F54" s="28"/>
      <c r="G54" s="28"/>
    </row>
    <row r="55" spans="1:7" x14ac:dyDescent="0.25">
      <c r="A55" s="28"/>
      <c r="B55" s="28"/>
      <c r="C55" s="28"/>
      <c r="D55" s="28"/>
      <c r="E55" s="28"/>
      <c r="F55" s="28"/>
      <c r="G55" s="28"/>
    </row>
    <row r="56" spans="1:7" x14ac:dyDescent="0.25">
      <c r="A56" s="28"/>
      <c r="B56" s="28"/>
      <c r="C56" s="28"/>
      <c r="D56" s="28"/>
      <c r="E56" s="28"/>
      <c r="F56" s="28"/>
      <c r="G56" s="28"/>
    </row>
    <row r="57" spans="1:7" x14ac:dyDescent="0.25">
      <c r="A57" s="28"/>
      <c r="B57" s="28"/>
      <c r="C57" s="28"/>
      <c r="D57" s="28"/>
      <c r="E57" s="28"/>
      <c r="F57" s="28"/>
      <c r="G57" s="28"/>
    </row>
    <row r="58" spans="1:7" x14ac:dyDescent="0.25">
      <c r="A58" s="28"/>
      <c r="B58" s="28"/>
      <c r="C58" s="28"/>
      <c r="D58" s="28"/>
      <c r="E58" s="28"/>
      <c r="F58" s="28"/>
      <c r="G58" s="28"/>
    </row>
    <row r="59" spans="1:7" x14ac:dyDescent="0.25">
      <c r="A59" s="28"/>
      <c r="B59" s="28"/>
      <c r="C59" s="28"/>
      <c r="D59" s="28"/>
      <c r="E59" s="28"/>
      <c r="F59" s="28"/>
      <c r="G59" s="28"/>
    </row>
    <row r="60" spans="1:7" x14ac:dyDescent="0.25">
      <c r="A60" s="28"/>
      <c r="B60" s="28"/>
      <c r="C60" s="28"/>
      <c r="D60" s="28"/>
      <c r="E60" s="28"/>
      <c r="F60" s="28"/>
      <c r="G60" s="28"/>
    </row>
    <row r="61" spans="1:7" x14ac:dyDescent="0.25">
      <c r="A61" s="28"/>
      <c r="B61" s="28"/>
      <c r="C61" s="28"/>
      <c r="D61" s="28"/>
      <c r="E61" s="28"/>
      <c r="F61" s="28"/>
      <c r="G61" s="28"/>
    </row>
    <row r="62" spans="1:7" x14ac:dyDescent="0.25">
      <c r="A62" s="28"/>
      <c r="B62" s="28"/>
      <c r="C62" s="28"/>
      <c r="D62" s="28"/>
      <c r="E62" s="28"/>
      <c r="F62" s="28"/>
      <c r="G62" s="28"/>
    </row>
    <row r="63" spans="1:7" x14ac:dyDescent="0.25">
      <c r="A63" s="28"/>
      <c r="B63" s="28"/>
      <c r="C63" s="28"/>
      <c r="D63" s="28"/>
      <c r="E63" s="28"/>
      <c r="F63" s="28"/>
      <c r="G63" s="28"/>
    </row>
    <row r="64" spans="1:7" x14ac:dyDescent="0.25">
      <c r="A64" s="28"/>
      <c r="B64" s="28"/>
      <c r="C64" s="28"/>
      <c r="D64" s="28"/>
      <c r="E64" s="28"/>
      <c r="F64" s="28"/>
      <c r="G64" s="28"/>
    </row>
    <row r="65" spans="1:7" x14ac:dyDescent="0.25">
      <c r="A65" s="28"/>
      <c r="B65" s="28"/>
      <c r="C65" s="28"/>
      <c r="D65" s="28"/>
      <c r="E65" s="28"/>
      <c r="F65" s="28"/>
      <c r="G65" s="28"/>
    </row>
    <row r="66" spans="1:7" x14ac:dyDescent="0.25">
      <c r="A66" s="28"/>
      <c r="B66" s="28"/>
      <c r="C66" s="28"/>
      <c r="D66" s="28"/>
      <c r="E66" s="28"/>
      <c r="F66" s="28"/>
      <c r="G66" s="28"/>
    </row>
    <row r="67" spans="1:7" x14ac:dyDescent="0.25">
      <c r="A67" s="28"/>
      <c r="B67" s="28"/>
      <c r="C67" s="28"/>
      <c r="D67" s="28"/>
      <c r="E67" s="28"/>
      <c r="F67" s="28"/>
      <c r="G67" s="28"/>
    </row>
    <row r="68" spans="1:7" x14ac:dyDescent="0.25">
      <c r="A68" s="28"/>
      <c r="B68" s="28"/>
      <c r="C68" s="28"/>
      <c r="D68" s="28"/>
      <c r="E68" s="28"/>
      <c r="F68" s="28"/>
      <c r="G68" s="28"/>
    </row>
    <row r="69" spans="1:7" x14ac:dyDescent="0.25">
      <c r="A69" s="28"/>
      <c r="B69" s="28"/>
      <c r="C69" s="28"/>
      <c r="D69" s="28"/>
      <c r="E69" s="28"/>
      <c r="F69" s="28"/>
      <c r="G69" s="28"/>
    </row>
    <row r="70" spans="1:7" x14ac:dyDescent="0.25">
      <c r="A70" s="28"/>
      <c r="B70" s="28"/>
      <c r="C70" s="28"/>
      <c r="D70" s="28"/>
      <c r="E70" s="28"/>
      <c r="F70" s="28"/>
      <c r="G70" s="28"/>
    </row>
    <row r="71" spans="1:7" x14ac:dyDescent="0.25">
      <c r="A71" s="28"/>
      <c r="B71" s="28"/>
      <c r="C71" s="28"/>
      <c r="D71" s="28"/>
      <c r="E71" s="28"/>
      <c r="F71" s="28"/>
      <c r="G71" s="28"/>
    </row>
    <row r="72" spans="1:7" x14ac:dyDescent="0.25">
      <c r="A72" s="28"/>
      <c r="B72" s="28"/>
      <c r="C72" s="28"/>
      <c r="D72" s="28"/>
      <c r="E72" s="28"/>
      <c r="F72" s="28"/>
      <c r="G72" s="28"/>
    </row>
    <row r="73" spans="1:7" x14ac:dyDescent="0.25">
      <c r="A73" s="28"/>
      <c r="B73" s="28"/>
      <c r="C73" s="28"/>
      <c r="D73" s="28"/>
      <c r="E73" s="28"/>
      <c r="F73" s="28"/>
      <c r="G73" s="28"/>
    </row>
  </sheetData>
  <mergeCells count="26">
    <mergeCell ref="B8:C8"/>
    <mergeCell ref="D23:E23"/>
    <mergeCell ref="F23:G23"/>
    <mergeCell ref="D24:E24"/>
    <mergeCell ref="D25:E25"/>
    <mergeCell ref="A11:G11"/>
    <mergeCell ref="B14:E14"/>
    <mergeCell ref="B15:E15"/>
    <mergeCell ref="B20:E20"/>
    <mergeCell ref="B18:E18"/>
    <mergeCell ref="B16:E16"/>
    <mergeCell ref="B17:E17"/>
    <mergeCell ref="B19:E19"/>
    <mergeCell ref="A35:G35"/>
    <mergeCell ref="D29:E29"/>
    <mergeCell ref="D30:E30"/>
    <mergeCell ref="F24:G24"/>
    <mergeCell ref="F25:G25"/>
    <mergeCell ref="F29:G29"/>
    <mergeCell ref="F30:G30"/>
    <mergeCell ref="D26:E26"/>
    <mergeCell ref="F26:G26"/>
    <mergeCell ref="D27:E27"/>
    <mergeCell ref="F27:G27"/>
    <mergeCell ref="D28:E28"/>
    <mergeCell ref="F28:G2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BW_RU_01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2026-06-21T14:47:12Z</dcterms:modified>
</cp:coreProperties>
</file>