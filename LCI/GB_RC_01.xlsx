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1063720E-7B98-44E3-A411-A5690AC98F9D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GB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2" i="1" l="1"/>
  <c r="F21" i="1"/>
  <c r="F20" i="1"/>
  <c r="F17" i="1"/>
  <c r="F19" i="1"/>
  <c r="F18" i="1"/>
  <c r="F16" i="1"/>
  <c r="F15" i="1"/>
</calcChain>
</file>

<file path=xl/sharedStrings.xml><?xml version="1.0" encoding="utf-8"?>
<sst xmlns="http://schemas.openxmlformats.org/spreadsheetml/2006/main" count="60" uniqueCount="44">
  <si>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</si>
  <si>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</si>
  <si>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</si>
  <si>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</si>
  <si>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</si>
  <si>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</si>
  <si>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</si>
  <si>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</si>
  <si>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</si>
  <si>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</si>
  <si>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</si>
  <si>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</si>
  <si>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</si>
  <si>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</si>
  <si>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</si>
  <si>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</si>
  <si>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</si>
  <si>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</si>
  <si>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</si>
  <si>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</si>
  <si>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</si>
  <si>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MJ</t>
  </si>
  <si>
    <t>Gypsum Boards</t>
  </si>
  <si>
    <t>1 m²</t>
  </si>
  <si>
    <t>kg/m²</t>
  </si>
  <si>
    <t>kgkm</t>
  </si>
  <si>
    <t>GB_RC_01 - Life Cycle Inventory</t>
  </si>
  <si>
    <t>Recycling</t>
  </si>
  <si>
    <t>Electricity, low voltage {DK}| market for | Cut-off, S</t>
  </si>
  <si>
    <t>kJ</t>
  </si>
  <si>
    <t>Crushing</t>
  </si>
  <si>
    <t>Rock crushing {RER}| rock crushing | Cut-off, S</t>
  </si>
  <si>
    <t>Recovered heat</t>
  </si>
  <si>
    <t>Heat, district or industrial, other than natural gas {Europe without Switzerland}| market for heat, district or industrial, other than natural gas | Cut-off, S</t>
  </si>
  <si>
    <t>Recovered electricity</t>
  </si>
  <si>
    <t>Avoided gypsum</t>
  </si>
  <si>
    <t>Incineration of paperboard</t>
  </si>
  <si>
    <t>Transportation of paperboard</t>
  </si>
  <si>
    <t>Waste paperboard {GLO}| treatment of waste paperboard, municipal incineration | Cut-off, S</t>
  </si>
  <si>
    <t>Gypsum, mineral {RER}| market for gypsum, mineral | Cut-off, S</t>
  </si>
  <si>
    <t>Page 1 of 2</t>
  </si>
  <si>
    <t>Page 2 of 2</t>
  </si>
  <si>
    <t>1 m² of 12.5 mm thick gypsum board is extracted from the building using using electric tools. Assumed electricity use of 0.989 kJ/kg gypsum board based on reference calculation in [1]. The gypsum board is transported 100 km by truck to facility in Denmark where 96% of it is crushed into gypsum, which replaces virgin gypsum in the production of new gypsum boards. The remaining 4% of the weight is assumed to be paperboard, which is transported another 50 km by truck to a municipal incineration site. Heat recovery of 12.4 MJ/kg paperboard and electricity recovery of 0.818 MJ/kg paperboard, calculated Knauf Classic Board EPD [2].</t>
  </si>
  <si>
    <t>Mass factor determined from BR18, appendix 2, table 7 ID #D1515.
[1] Reference calculation: https://github.com/GustavS193940/Catalogue-of-value-creation-processes-for-building-materials/blob/b19f72869c2b249eae2a71bcbf9176dfd2070a8f/Electricity%20Reference/README.md
[2] NEPD-12620-12793: knauf.com/api/download-center/v1/assets/5336eb4d-b5fa-444c-8319-cf61432b43be?download=true&amp;country=dk&amp;locale=da-DK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</si>
</sst>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2" fontId="0" fillId="3" borderId="9" xfId="0" applyNumberFormat="1" applyFill="1" applyBorder="1" applyAlignment="1">
      <alignment vertical="center"/>
    </xf>
    <xf numFmtId="2" fontId="0" fillId="3" borderId="0" xfId="0" applyNumberFormat="1" applyFill="1" applyAlignment="1">
      <alignment horizontal="center"/>
    </xf>
    <xf numFmtId="1" fontId="0" fillId="3" borderId="16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15" xfId="0" applyFill="1" applyBorder="1" applyAlignment="1">
      <alignment vertical="center" wrapText="1"/>
    </xf>
    <xf numFmtId="164" fontId="0" fillId="3" borderId="16" xfId="0" applyNumberFormat="1" applyFill="1" applyBorder="1" applyAlignment="1">
      <alignment vertical="center"/>
    </xf>
    <xf numFmtId="2" fontId="0" fillId="3" borderId="16" xfId="0" applyNumberFormat="1" applyFill="1" applyBorder="1" applyAlignment="1">
      <alignment vertical="center"/>
    </xf>
    <xf numFmtId="165" fontId="0" fillId="3" borderId="16" xfId="0" applyNumberFormat="1" applyFill="1" applyBorder="1" applyAlignment="1">
      <alignment vertical="center"/>
    </xf>
    <xf numFmtId="2" fontId="0" fillId="3" borderId="11" xfId="0" applyNumberFormat="1" applyFill="1" applyBorder="1" applyAlignment="1">
      <alignment vertical="center"/>
    </xf>
    <xf numFmtId="165" fontId="0" fillId="3" borderId="11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2"/>
  <sheetViews>
    <sheetView tabSelected="1" view="pageLayout" topLeftCell="A23" zoomScaleNormal="100" workbookViewId="0">
      <selection activeCell="A39" sqref="A39:G39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26</v>
      </c>
      <c r="B1" s="2"/>
      <c r="C1" s="34" t="s">
        <v>40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22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23</v>
      </c>
      <c r="C5" s="4"/>
      <c r="D5" s="4"/>
      <c r="E5" s="4"/>
      <c r="F5" s="4"/>
      <c r="G5" s="4"/>
    </row>
    <row r="6" spans="1:7" x14ac:dyDescent="0.25">
      <c r="A6" s="5" t="s">
        <v>2</v>
      </c>
      <c r="B6" s="23">
        <v>9.1</v>
      </c>
      <c r="C6" s="4" t="s">
        <v>24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6" t="s">
        <v>27</v>
      </c>
      <c r="C8" s="4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35" t="s">
        <v>42</v>
      </c>
      <c r="B11" s="36"/>
      <c r="C11" s="36"/>
      <c r="D11" s="36"/>
      <c r="E11" s="36"/>
      <c r="F11" s="36"/>
      <c r="G11" s="37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50" t="s">
        <v>19</v>
      </c>
      <c r="C14" s="50"/>
      <c r="D14" s="50"/>
      <c r="E14" s="50"/>
      <c r="F14" s="10" t="s">
        <v>8</v>
      </c>
      <c r="G14" s="11" t="s">
        <v>1</v>
      </c>
    </row>
    <row r="15" spans="1:7" x14ac:dyDescent="0.25">
      <c r="A15" s="12" t="s">
        <v>20</v>
      </c>
      <c r="B15" s="53" t="s">
        <v>28</v>
      </c>
      <c r="C15" s="53"/>
      <c r="D15" s="53"/>
      <c r="E15" s="53"/>
      <c r="F15" s="22">
        <f>B6*0.989</f>
        <v>8.9999000000000002</v>
      </c>
      <c r="G15" s="13" t="s">
        <v>29</v>
      </c>
    </row>
    <row r="16" spans="1:7" ht="45" customHeight="1" x14ac:dyDescent="0.25">
      <c r="A16" s="20" t="s">
        <v>9</v>
      </c>
      <c r="B16" s="51" t="s">
        <v>18</v>
      </c>
      <c r="C16" s="51"/>
      <c r="D16" s="51"/>
      <c r="E16" s="51"/>
      <c r="F16" s="24">
        <f>B6*100</f>
        <v>910</v>
      </c>
      <c r="G16" s="21" t="s">
        <v>25</v>
      </c>
    </row>
    <row r="17" spans="1:7" x14ac:dyDescent="0.25">
      <c r="A17" s="26" t="s">
        <v>30</v>
      </c>
      <c r="B17" s="54" t="s">
        <v>31</v>
      </c>
      <c r="C17" s="54"/>
      <c r="D17" s="54"/>
      <c r="E17" s="54"/>
      <c r="F17" s="32">
        <f>B6*0.96</f>
        <v>8.7359999999999989</v>
      </c>
      <c r="G17" s="27" t="s">
        <v>10</v>
      </c>
    </row>
    <row r="18" spans="1:7" ht="45" customHeight="1" x14ac:dyDescent="0.25">
      <c r="A18" s="28" t="s">
        <v>37</v>
      </c>
      <c r="B18" s="51" t="s">
        <v>18</v>
      </c>
      <c r="C18" s="51"/>
      <c r="D18" s="51"/>
      <c r="E18" s="51"/>
      <c r="F18" s="29">
        <f>B6*0.04*50</f>
        <v>18.2</v>
      </c>
      <c r="G18" s="21" t="s">
        <v>25</v>
      </c>
    </row>
    <row r="19" spans="1:7" ht="30.75" customHeight="1" x14ac:dyDescent="0.25">
      <c r="A19" s="28" t="s">
        <v>36</v>
      </c>
      <c r="B19" s="51" t="s">
        <v>38</v>
      </c>
      <c r="C19" s="51"/>
      <c r="D19" s="51"/>
      <c r="E19" s="51"/>
      <c r="F19" s="31">
        <f>B6*0.04</f>
        <v>0.36399999999999999</v>
      </c>
      <c r="G19" s="21" t="s">
        <v>10</v>
      </c>
    </row>
    <row r="20" spans="1:7" ht="45.75" customHeight="1" x14ac:dyDescent="0.25">
      <c r="A20" s="20" t="s">
        <v>32</v>
      </c>
      <c r="B20" s="51" t="s">
        <v>33</v>
      </c>
      <c r="C20" s="51"/>
      <c r="D20" s="51"/>
      <c r="E20" s="51"/>
      <c r="F20" s="30">
        <f>-12.4*B6*0.04</f>
        <v>-4.5136000000000003</v>
      </c>
      <c r="G20" s="21" t="s">
        <v>21</v>
      </c>
    </row>
    <row r="21" spans="1:7" ht="15.75" customHeight="1" x14ac:dyDescent="0.25">
      <c r="A21" s="26" t="s">
        <v>34</v>
      </c>
      <c r="B21" s="54" t="s">
        <v>28</v>
      </c>
      <c r="C21" s="54"/>
      <c r="D21" s="54"/>
      <c r="E21" s="54"/>
      <c r="F21" s="33">
        <f>-0.818*B6*0.04</f>
        <v>-0.29775199999999996</v>
      </c>
      <c r="G21" s="27" t="s">
        <v>21</v>
      </c>
    </row>
    <row r="22" spans="1:7" ht="30.75" customHeight="1" thickBot="1" x14ac:dyDescent="0.3">
      <c r="A22" s="8" t="s">
        <v>35</v>
      </c>
      <c r="B22" s="52" t="s">
        <v>39</v>
      </c>
      <c r="C22" s="52"/>
      <c r="D22" s="52"/>
      <c r="E22" s="52"/>
      <c r="F22" s="25">
        <f>-B6*0.96</f>
        <v>-8.7359999999999989</v>
      </c>
      <c r="G22" s="14" t="s">
        <v>10</v>
      </c>
    </row>
    <row r="23" spans="1:7" ht="161.25" customHeight="1" x14ac:dyDescent="0.25">
      <c r="A23" s="4"/>
      <c r="B23" s="4"/>
      <c r="C23" s="4"/>
      <c r="D23" s="4"/>
      <c r="E23" s="4"/>
      <c r="F23" s="4"/>
      <c r="G23" s="4"/>
    </row>
    <row r="24" spans="1:7" s="1" customFormat="1" ht="15.75" thickBot="1" x14ac:dyDescent="0.3">
      <c r="A24" s="2" t="s">
        <v>26</v>
      </c>
      <c r="B24" s="2"/>
      <c r="C24" s="34" t="s">
        <v>41</v>
      </c>
      <c r="D24" s="2"/>
      <c r="E24" s="2"/>
      <c r="F24" s="2"/>
      <c r="G24" s="3">
        <v>46190</v>
      </c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11</v>
      </c>
      <c r="B26" s="4"/>
      <c r="C26" s="4"/>
      <c r="D26" s="4"/>
      <c r="E26" s="4"/>
      <c r="F26" s="4"/>
      <c r="G26" s="4"/>
    </row>
    <row r="27" spans="1:7" ht="47.25" thickBot="1" x14ac:dyDescent="0.4">
      <c r="A27" s="9" t="s">
        <v>3</v>
      </c>
      <c r="B27" s="15" t="s">
        <v>16</v>
      </c>
      <c r="C27" s="15" t="s">
        <v>13</v>
      </c>
      <c r="D27" s="48" t="s">
        <v>14</v>
      </c>
      <c r="E27" s="48"/>
      <c r="F27" s="48" t="s">
        <v>15</v>
      </c>
      <c r="G27" s="49"/>
    </row>
    <row r="28" spans="1:7" x14ac:dyDescent="0.25">
      <c r="A28" s="12" t="s">
        <v>20</v>
      </c>
      <c r="B28" s="17">
        <v>4.46E-4</v>
      </c>
      <c r="C28" s="17">
        <v>1.01E-4</v>
      </c>
      <c r="D28" s="40">
        <v>3.8800000000000001E-6</v>
      </c>
      <c r="E28" s="40"/>
      <c r="F28" s="40">
        <v>1.1E-4</v>
      </c>
      <c r="G28" s="41"/>
    </row>
    <row r="29" spans="1:7" x14ac:dyDescent="0.25">
      <c r="A29" s="20" t="s">
        <v>9</v>
      </c>
      <c r="B29" s="16">
        <v>0.17399999999999999</v>
      </c>
      <c r="C29" s="16">
        <v>7.7400000000000004E-3</v>
      </c>
      <c r="D29" s="42">
        <v>4.5899999999999999E-4</v>
      </c>
      <c r="E29" s="42"/>
      <c r="F29" s="42">
        <v>5.4800000000000001E-2</v>
      </c>
      <c r="G29" s="43"/>
    </row>
    <row r="30" spans="1:7" x14ac:dyDescent="0.25">
      <c r="A30" s="26" t="s">
        <v>30</v>
      </c>
      <c r="B30" s="16">
        <v>2.3500000000000001E-3</v>
      </c>
      <c r="C30" s="16">
        <v>7.0900000000000002E-5</v>
      </c>
      <c r="D30" s="42">
        <v>7.4699999999999996E-6</v>
      </c>
      <c r="E30" s="42"/>
      <c r="F30" s="42">
        <v>6.4400000000000004E-4</v>
      </c>
      <c r="G30" s="43"/>
    </row>
    <row r="31" spans="1:7" ht="30" x14ac:dyDescent="0.25">
      <c r="A31" s="28" t="s">
        <v>37</v>
      </c>
      <c r="B31" s="16">
        <v>3.6700000000000001E-3</v>
      </c>
      <c r="C31" s="16">
        <v>1.6100000000000001E-4</v>
      </c>
      <c r="D31" s="42">
        <v>9.7899999999999994E-6</v>
      </c>
      <c r="E31" s="42"/>
      <c r="F31" s="42">
        <v>1.14E-3</v>
      </c>
      <c r="G31" s="43"/>
    </row>
    <row r="32" spans="1:7" ht="30" x14ac:dyDescent="0.25">
      <c r="A32" s="28" t="s">
        <v>36</v>
      </c>
      <c r="B32" s="16">
        <v>1.2500000000000001E-2</v>
      </c>
      <c r="C32" s="16">
        <v>1.7100000000000001E-4</v>
      </c>
      <c r="D32" s="42">
        <v>6.3200000000000005E-5</v>
      </c>
      <c r="E32" s="42"/>
      <c r="F32" s="42">
        <v>2E-3</v>
      </c>
      <c r="G32" s="43"/>
    </row>
    <row r="33" spans="1:7" x14ac:dyDescent="0.25">
      <c r="A33" s="20" t="s">
        <v>32</v>
      </c>
      <c r="B33" s="16">
        <v>-0.32900000000000001</v>
      </c>
      <c r="C33" s="16">
        <v>-1.9199999999999998E-2</v>
      </c>
      <c r="D33" s="42">
        <v>-1.07E-4</v>
      </c>
      <c r="E33" s="42"/>
      <c r="F33" s="42">
        <v>-7.1499999999999994E-2</v>
      </c>
      <c r="G33" s="43"/>
    </row>
    <row r="34" spans="1:7" x14ac:dyDescent="0.25">
      <c r="A34" s="26" t="s">
        <v>34</v>
      </c>
      <c r="B34" s="16">
        <v>-1.4800000000000001E-2</v>
      </c>
      <c r="C34" s="16">
        <v>-3.3400000000000001E-3</v>
      </c>
      <c r="D34" s="42">
        <v>-1.2799999999999999E-4</v>
      </c>
      <c r="E34" s="42"/>
      <c r="F34" s="42">
        <v>-3.65E-3</v>
      </c>
      <c r="G34" s="43"/>
    </row>
    <row r="35" spans="1:7" ht="15.75" thickBot="1" x14ac:dyDescent="0.3">
      <c r="A35" s="8" t="s">
        <v>35</v>
      </c>
      <c r="B35" s="18">
        <v>-7.4300000000000005E-2</v>
      </c>
      <c r="C35" s="18">
        <v>-4.6899999999999997E-3</v>
      </c>
      <c r="D35" s="38">
        <v>-2.5000000000000001E-2</v>
      </c>
      <c r="E35" s="38"/>
      <c r="F35" s="38">
        <v>-2.24E-2</v>
      </c>
      <c r="G35" s="44"/>
    </row>
    <row r="36" spans="1:7" ht="15.75" thickBot="1" x14ac:dyDescent="0.3">
      <c r="A36" s="9" t="s">
        <v>17</v>
      </c>
      <c r="B36" s="19">
        <v>-0.22500000000000001</v>
      </c>
      <c r="C36" s="19">
        <v>-1.9E-2</v>
      </c>
      <c r="D36" s="39">
        <v>-2.47E-2</v>
      </c>
      <c r="E36" s="39"/>
      <c r="F36" s="39">
        <v>-3.8899999999999997E-2</v>
      </c>
      <c r="G36" s="45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ht="15.75" thickBot="1" x14ac:dyDescent="0.3">
      <c r="A38" s="5" t="s">
        <v>12</v>
      </c>
      <c r="B38" s="4"/>
      <c r="C38" s="4"/>
      <c r="D38" s="4"/>
      <c r="E38" s="4"/>
      <c r="F38" s="4"/>
      <c r="G38" s="4"/>
    </row>
    <row r="39" spans="1:7" ht="80.25" customHeight="1" thickBot="1" x14ac:dyDescent="0.3">
      <c r="A39" s="35" t="s">
        <v>43</v>
      </c>
      <c r="B39" s="36"/>
      <c r="C39" s="36"/>
      <c r="D39" s="36"/>
      <c r="E39" s="36"/>
      <c r="F39" s="36"/>
      <c r="G39" s="37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</sheetData>
  <mergeCells count="32">
    <mergeCell ref="F34:G34"/>
    <mergeCell ref="B8:C8"/>
    <mergeCell ref="D27:E27"/>
    <mergeCell ref="F27:G27"/>
    <mergeCell ref="D28:E28"/>
    <mergeCell ref="D29:E29"/>
    <mergeCell ref="A11:G11"/>
    <mergeCell ref="B14:E14"/>
    <mergeCell ref="B16:E16"/>
    <mergeCell ref="B22:E22"/>
    <mergeCell ref="B15:E15"/>
    <mergeCell ref="B17:E17"/>
    <mergeCell ref="B18:E18"/>
    <mergeCell ref="B19:E19"/>
    <mergeCell ref="B20:E20"/>
    <mergeCell ref="B21:E21"/>
    <mergeCell ref="A39:G39"/>
    <mergeCell ref="D35:E35"/>
    <mergeCell ref="D36:E36"/>
    <mergeCell ref="F28:G28"/>
    <mergeCell ref="F29:G29"/>
    <mergeCell ref="F35:G35"/>
    <mergeCell ref="F36:G36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GB_RC_01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2026-06-21T20:30:32Z</dcterms:modified>
</cp:coreProperties>
</file>