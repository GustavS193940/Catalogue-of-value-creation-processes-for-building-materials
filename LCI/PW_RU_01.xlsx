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7CE3BD3-9576-48AB-AE1B-19E8F099236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<sst xmlns="http://schemas.openxmlformats.org/spreadsheetml/2006/main" count="56" uniqueCount="43">
  <si>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</si>
  <si>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</si>
  <si>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</si>
  <si>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</si>
  <si>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</si>
  <si>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</si>
  <si>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</si>
  <si>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</si>
  <si>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</si>
  <si>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</si>
  <si>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</si>
  <si>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</si>
  <si>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</si>
  <si>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</si>
  <si>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</si>
  <si>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</si>
  <si>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</si>
  <si>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</si>
  <si>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</si>
  <si>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</si>
  <si>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</si>
  <si>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</si>
  <si>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</si>
  <si>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</si>
  <si>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</si>
  <si>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</si>
  <si>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</si>
  <si>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</si>
  <si>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</si>
  <si>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</si>
  <si>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</si>
  <si>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</si>
  <si>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</si>
  <si>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</si>
  <si>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</si>
  <si>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</si>
  <si>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</si>
  <si>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</si>
  <si>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Plywood</t>
  </si>
  <si>
    <t>PW_RU_01 - Life Cycle Inventory</t>
  </si>
  <si>
    <t>1 m³ of plywood is extracted from the building diesel-driven machinery. Assumed diesel use of 1.4 L/t material based on a report from the Danish Environmental Protection Agency (2022) [1]. The plywood is transported 100 km by truck to a facility in Denmark where it is reused. Assumed 80% of plywood is reusable based on an LCA report from the GENTRÆ project (2020) [2]. The remaining 20% is transported another 50 km by truck to a municipal incineration plant where it is incinerated for energy recovery. Heat recovery of 1640 MJ/m³ plywood and electricity recovery of 815 MJ/m³ plywood from Danish industry EPD for plywood [3].</t>
  </si>
  <si>
    <t>Mass factor determined from Danish industry EPD for plywood MD-25109-EN [2]
Diesel density assumed to be 0.845 kg/L with an energy density of 42.7 MJ/kg.
EcoInvent process for avoided wood assumes density of 823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MD-25109-EN: https://www.epddanmark.dk/media/qjunhs5r/md-25109-en.pdf</t>
  </si>
  <si>
    <t>Plywood {RER}| market for plywood | 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</si>
</sst>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topLeftCell="A23" zoomScaleNormal="100" workbookViewId="0">
      <selection activeCell="F36" sqref="F3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39</v>
      </c>
      <c r="B1" s="2"/>
      <c r="C1" s="24" t="s">
        <v>28</v>
      </c>
      <c r="D1" s="2"/>
      <c r="E1" s="2"/>
      <c r="F1" s="2"/>
      <c r="G1" s="3">
        <v>46193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36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4" t="s">
        <v>40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19</v>
      </c>
      <c r="C14" s="47"/>
      <c r="D14" s="47"/>
      <c r="E14" s="47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9" t="s">
        <v>30</v>
      </c>
      <c r="C15" s="49"/>
      <c r="D15" s="49"/>
      <c r="E15" s="49"/>
      <c r="F15" s="21">
        <f>B6*1.4/1000*0.845*42.7</f>
        <v>24.549852599999998</v>
      </c>
      <c r="G15" s="13" t="s">
        <v>25</v>
      </c>
    </row>
    <row r="16" spans="1:7" ht="45" customHeight="1" x14ac:dyDescent="0.25">
      <c r="A16" s="19" t="s">
        <v>9</v>
      </c>
      <c r="B16" s="48" t="s">
        <v>18</v>
      </c>
      <c r="C16" s="48"/>
      <c r="D16" s="48"/>
      <c r="E16" s="48"/>
      <c r="F16" s="23">
        <f>B6*100/1000</f>
        <v>48.6</v>
      </c>
      <c r="G16" s="20" t="s">
        <v>29</v>
      </c>
    </row>
    <row r="17" spans="1:7" ht="45" customHeight="1" x14ac:dyDescent="0.25">
      <c r="A17" s="28" t="s">
        <v>37</v>
      </c>
      <c r="B17" s="48" t="s">
        <v>18</v>
      </c>
      <c r="C17" s="48"/>
      <c r="D17" s="48"/>
      <c r="E17" s="48"/>
      <c r="F17" s="30">
        <f>B6*0.2*50/1000</f>
        <v>4.8600000000000003</v>
      </c>
      <c r="G17" s="20" t="s">
        <v>29</v>
      </c>
    </row>
    <row r="18" spans="1:7" ht="30.75" customHeight="1" x14ac:dyDescent="0.25">
      <c r="A18" s="28" t="s">
        <v>34</v>
      </c>
      <c r="B18" s="48" t="s">
        <v>32</v>
      </c>
      <c r="C18" s="48"/>
      <c r="D18" s="48"/>
      <c r="E18" s="48"/>
      <c r="F18" s="23">
        <f>B6*0.2</f>
        <v>97.2</v>
      </c>
      <c r="G18" s="20" t="s">
        <v>10</v>
      </c>
    </row>
    <row r="19" spans="1:7" ht="45.75" customHeight="1" x14ac:dyDescent="0.25">
      <c r="A19" s="19" t="s">
        <v>23</v>
      </c>
      <c r="B19" s="48" t="s">
        <v>24</v>
      </c>
      <c r="C19" s="48"/>
      <c r="D19" s="48"/>
      <c r="E19" s="48"/>
      <c r="F19" s="22">
        <f>-1640*0.2</f>
        <v>-328</v>
      </c>
      <c r="G19" s="20" t="s">
        <v>25</v>
      </c>
    </row>
    <row r="20" spans="1:7" ht="15.75" customHeight="1" x14ac:dyDescent="0.25">
      <c r="A20" s="25" t="s">
        <v>22</v>
      </c>
      <c r="B20" s="50" t="s">
        <v>21</v>
      </c>
      <c r="C20" s="50"/>
      <c r="D20" s="50"/>
      <c r="E20" s="50"/>
      <c r="F20" s="27">
        <f>-815*0.2</f>
        <v>-163</v>
      </c>
      <c r="G20" s="26" t="s">
        <v>25</v>
      </c>
    </row>
    <row r="21" spans="1:7" ht="15.75" thickBot="1" x14ac:dyDescent="0.3">
      <c r="A21" s="8" t="s">
        <v>33</v>
      </c>
      <c r="B21" s="51" t="s">
        <v>42</v>
      </c>
      <c r="C21" s="51"/>
      <c r="D21" s="51"/>
      <c r="E21" s="51"/>
      <c r="F21" s="29">
        <f>-B6/823*0.8</f>
        <v>-0.4724179829890644</v>
      </c>
      <c r="G21" s="14" t="s">
        <v>35</v>
      </c>
    </row>
    <row r="22" spans="1:7" ht="170.2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39</v>
      </c>
      <c r="B23" s="2"/>
      <c r="C23" s="24" t="s">
        <v>31</v>
      </c>
      <c r="D23" s="2"/>
      <c r="E23" s="2"/>
      <c r="F23" s="2"/>
      <c r="G23" s="3">
        <v>46193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16</v>
      </c>
      <c r="C26" s="15" t="s">
        <v>13</v>
      </c>
      <c r="D26" s="42" t="s">
        <v>14</v>
      </c>
      <c r="E26" s="42"/>
      <c r="F26" s="42" t="s">
        <v>15</v>
      </c>
      <c r="G26" s="43"/>
    </row>
    <row r="27" spans="1:7" x14ac:dyDescent="0.25">
      <c r="A27" s="12" t="s">
        <v>20</v>
      </c>
      <c r="B27" s="17">
        <v>2.5099999999999998</v>
      </c>
      <c r="C27" s="17">
        <v>1.77E-2</v>
      </c>
      <c r="D27" s="36">
        <v>4.0499999999999998E-3</v>
      </c>
      <c r="E27" s="36"/>
      <c r="F27" s="36">
        <v>0.73799999999999999</v>
      </c>
      <c r="G27" s="37"/>
    </row>
    <row r="28" spans="1:7" x14ac:dyDescent="0.25">
      <c r="A28" s="19" t="s">
        <v>9</v>
      </c>
      <c r="B28" s="16">
        <v>9.2899999999999991</v>
      </c>
      <c r="C28" s="16">
        <v>0.41299999999999998</v>
      </c>
      <c r="D28" s="34">
        <v>2.4500000000000001E-2</v>
      </c>
      <c r="E28" s="34"/>
      <c r="F28" s="34">
        <v>2.93</v>
      </c>
      <c r="G28" s="38"/>
    </row>
    <row r="29" spans="1:7" ht="30" x14ac:dyDescent="0.25">
      <c r="A29" s="28" t="s">
        <v>37</v>
      </c>
      <c r="B29" s="16">
        <v>0.92900000000000005</v>
      </c>
      <c r="C29" s="16">
        <v>4.1300000000000003E-2</v>
      </c>
      <c r="D29" s="34">
        <v>2.4499999999999999E-3</v>
      </c>
      <c r="E29" s="34"/>
      <c r="F29" s="34">
        <v>0.29299999999999998</v>
      </c>
      <c r="G29" s="38"/>
    </row>
    <row r="30" spans="1:7" ht="30" x14ac:dyDescent="0.25">
      <c r="A30" s="28" t="s">
        <v>34</v>
      </c>
      <c r="B30" s="16">
        <v>1.53</v>
      </c>
      <c r="C30" s="16">
        <v>2.5100000000000001E-2</v>
      </c>
      <c r="D30" s="34">
        <v>1.29E-2</v>
      </c>
      <c r="E30" s="34"/>
      <c r="F30" s="34">
        <v>0.312</v>
      </c>
      <c r="G30" s="38"/>
    </row>
    <row r="31" spans="1:7" x14ac:dyDescent="0.25">
      <c r="A31" s="19" t="s">
        <v>23</v>
      </c>
      <c r="B31" s="16">
        <v>-23.9</v>
      </c>
      <c r="C31" s="16">
        <v>-1.4</v>
      </c>
      <c r="D31" s="34">
        <v>-7.7600000000000004E-3</v>
      </c>
      <c r="E31" s="34"/>
      <c r="F31" s="34">
        <v>-5.2</v>
      </c>
      <c r="G31" s="38"/>
    </row>
    <row r="32" spans="1:7" x14ac:dyDescent="0.25">
      <c r="A32" s="19" t="s">
        <v>22</v>
      </c>
      <c r="B32" s="16">
        <v>-8.08</v>
      </c>
      <c r="C32" s="16">
        <v>-1.83</v>
      </c>
      <c r="D32" s="34">
        <v>-7.0300000000000001E-2</v>
      </c>
      <c r="E32" s="34"/>
      <c r="F32" s="34">
        <v>-1.99</v>
      </c>
      <c r="G32" s="38"/>
    </row>
    <row r="33" spans="1:7" ht="15.75" thickBot="1" x14ac:dyDescent="0.3">
      <c r="A33" s="8" t="s">
        <v>33</v>
      </c>
      <c r="B33" s="16">
        <v>-198</v>
      </c>
      <c r="C33" s="16">
        <v>-537</v>
      </c>
      <c r="D33" s="34">
        <v>-0.71799999999999997</v>
      </c>
      <c r="E33" s="34"/>
      <c r="F33" s="34">
        <v>-76.8</v>
      </c>
      <c r="G33" s="38"/>
    </row>
    <row r="34" spans="1:7" ht="15.75" thickBot="1" x14ac:dyDescent="0.3">
      <c r="A34" s="9" t="s">
        <v>17</v>
      </c>
      <c r="B34" s="18">
        <v>-216</v>
      </c>
      <c r="C34" s="18">
        <v>-539</v>
      </c>
      <c r="D34" s="35">
        <v>-0.752</v>
      </c>
      <c r="E34" s="35"/>
      <c r="F34" s="35">
        <v>-79.7</v>
      </c>
      <c r="G34" s="3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07.25" customHeight="1" thickBot="1" x14ac:dyDescent="0.3">
      <c r="A37" s="31" t="s">
        <v>41</v>
      </c>
      <c r="B37" s="32"/>
      <c r="C37" s="32"/>
      <c r="D37" s="32"/>
      <c r="E37" s="32"/>
      <c r="F37" s="32"/>
      <c r="G37" s="3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29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2026-06-20T11:24:21Z</dcterms:modified>
</cp:coreProperties>
</file>