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36471B3-6E11-4DEF-8139-01A312C77E98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C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<sst xmlns="http://schemas.openxmlformats.org/spreadsheetml/2006/main" count="56" uniqueCount="43">
  <si>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</si>
  <si>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</si>
  <si>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</si>
  <si>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</si>
  <si>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</si>
  <si>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</si>
  <si>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</si>
  <si>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</si>
  <si>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</si>
  <si>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</si>
  <si>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</si>
  <si>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</si>
  <si>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</si>
  <si>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</si>
  <si>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</si>
  <si>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</si>
  <si>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</si>
  <si>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</si>
  <si>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</si>
  <si>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</si>
  <si>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</si>
  <si>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</si>
  <si>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</si>
  <si>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</si>
  <si>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</si>
  <si>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</si>
  <si>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Construction Wood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</si>
  <si>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</si>
  <si>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</si>
  <si>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</si>
  <si>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</si>
  <si>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</si>
  <si>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</si>
  <si>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</si>
  <si>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</si>
  <si>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</si>
  <si>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</si>
  <si>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CW_RU_01 - Life Cycle Inventory</t>
  </si>
  <si>
    <t>Reuse</t>
  </si>
  <si>
    <t>Transportation of residual</t>
  </si>
  <si>
    <t>Structural timber {RER}| market for structural timber | Cut-off, S</t>
  </si>
  <si>
    <t>Mass factor determined from Danish industry EPD for construction wood MD-25104-EN [2]
Diesel density assumed to be 0.845 kg/L with an energy density of 42.7 MJ/kg.
EcoInvent process for avoided wood assumes density of 436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MD-25104-EN: https://www.epddanmark.dk/media/y1wfvthh/md-25104-en.pdf</t>
  </si>
  <si>
    <t>1 m³ of construction wood is extracted from the building diesel-driven machinery. Assumed diesel use of 1.4 L/t material based on a report from the Danish Environmental Protection Agency (2022) [1]. The construction wood is transported 100 km by truck to a facility in Denmark where it is reused. Assumed 80% of construction wood is reusable based on an LCA report from the GENTRÆ project (2020) [2]. The remaining 20% is transported another 50 km by truck to a municipal incineration plant where it is incinerated for energy recovery. Heat recovery of 1430 MJ/m³ construction wood and electricity recovery of 712 MJ/m³ construction wood from Danish industry EPD for construction wood [3].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</si>
</sst>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4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2"/>
  <sheetViews>
    <sheetView tabSelected="1" view="pageLayout" topLeftCell="A23" zoomScaleNormal="100" workbookViewId="0">
      <selection activeCell="A17" sqref="A17:XFD1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4" t="s">
        <v>29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488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0" t="s">
        <v>38</v>
      </c>
      <c r="C8" s="4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4" t="s">
        <v>42</v>
      </c>
      <c r="B11" s="45"/>
      <c r="C11" s="45"/>
      <c r="D11" s="45"/>
      <c r="E11" s="45"/>
      <c r="F11" s="45"/>
      <c r="G11" s="4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19</v>
      </c>
      <c r="C14" s="47"/>
      <c r="D14" s="47"/>
      <c r="E14" s="47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9" t="s">
        <v>31</v>
      </c>
      <c r="C15" s="49"/>
      <c r="D15" s="49"/>
      <c r="E15" s="49"/>
      <c r="F15" s="21">
        <f>B6*1.4/1000*0.845*42.7</f>
        <v>24.650880799999999</v>
      </c>
      <c r="G15" s="13" t="s">
        <v>25</v>
      </c>
    </row>
    <row r="16" spans="1:7" ht="45" customHeight="1" x14ac:dyDescent="0.25">
      <c r="A16" s="19" t="s">
        <v>9</v>
      </c>
      <c r="B16" s="48" t="s">
        <v>18</v>
      </c>
      <c r="C16" s="48"/>
      <c r="D16" s="48"/>
      <c r="E16" s="48"/>
      <c r="F16" s="23">
        <f>B6*100/1000</f>
        <v>48.8</v>
      </c>
      <c r="G16" s="20" t="s">
        <v>30</v>
      </c>
    </row>
    <row r="17" spans="1:7" ht="45" customHeight="1" x14ac:dyDescent="0.25">
      <c r="A17" s="28" t="s">
        <v>39</v>
      </c>
      <c r="B17" s="48" t="s">
        <v>18</v>
      </c>
      <c r="C17" s="48"/>
      <c r="D17" s="48"/>
      <c r="E17" s="48"/>
      <c r="F17" s="30">
        <f>B6*0.2*50/1000</f>
        <v>4.88</v>
      </c>
      <c r="G17" s="20" t="s">
        <v>30</v>
      </c>
    </row>
    <row r="18" spans="1:7" ht="30.75" customHeight="1" x14ac:dyDescent="0.25">
      <c r="A18" s="28" t="s">
        <v>35</v>
      </c>
      <c r="B18" s="48" t="s">
        <v>33</v>
      </c>
      <c r="C18" s="48"/>
      <c r="D18" s="48"/>
      <c r="E18" s="48"/>
      <c r="F18" s="23">
        <f>B6*0.2</f>
        <v>97.600000000000009</v>
      </c>
      <c r="G18" s="20" t="s">
        <v>10</v>
      </c>
    </row>
    <row r="19" spans="1:7" ht="45.75" customHeight="1" x14ac:dyDescent="0.25">
      <c r="A19" s="19" t="s">
        <v>23</v>
      </c>
      <c r="B19" s="48" t="s">
        <v>24</v>
      </c>
      <c r="C19" s="48"/>
      <c r="D19" s="48"/>
      <c r="E19" s="48"/>
      <c r="F19" s="22">
        <f>-1430*0.2</f>
        <v>-286</v>
      </c>
      <c r="G19" s="20" t="s">
        <v>25</v>
      </c>
    </row>
    <row r="20" spans="1:7" ht="15.75" customHeight="1" x14ac:dyDescent="0.25">
      <c r="A20" s="25" t="s">
        <v>22</v>
      </c>
      <c r="B20" s="50" t="s">
        <v>21</v>
      </c>
      <c r="C20" s="50"/>
      <c r="D20" s="50"/>
      <c r="E20" s="50"/>
      <c r="F20" s="27">
        <f>-712*0.2</f>
        <v>-142.4</v>
      </c>
      <c r="G20" s="26" t="s">
        <v>25</v>
      </c>
    </row>
    <row r="21" spans="1:7" ht="29.45" customHeight="1" thickBot="1" x14ac:dyDescent="0.3">
      <c r="A21" s="8" t="s">
        <v>34</v>
      </c>
      <c r="B21" s="51" t="s">
        <v>40</v>
      </c>
      <c r="C21" s="51"/>
      <c r="D21" s="51"/>
      <c r="E21" s="51"/>
      <c r="F21" s="29">
        <f>-B6/436*0.8</f>
        <v>-0.8954128440366973</v>
      </c>
      <c r="G21" s="14" t="s">
        <v>36</v>
      </c>
    </row>
    <row r="22" spans="1:7" ht="156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37</v>
      </c>
      <c r="B23" s="2"/>
      <c r="C23" s="24" t="s">
        <v>32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5" t="s">
        <v>16</v>
      </c>
      <c r="C26" s="15" t="s">
        <v>13</v>
      </c>
      <c r="D26" s="42" t="s">
        <v>14</v>
      </c>
      <c r="E26" s="42"/>
      <c r="F26" s="42" t="s">
        <v>15</v>
      </c>
      <c r="G26" s="43"/>
    </row>
    <row r="27" spans="1:7" x14ac:dyDescent="0.25">
      <c r="A27" s="12" t="s">
        <v>20</v>
      </c>
      <c r="B27" s="17">
        <v>2.5299999999999998</v>
      </c>
      <c r="C27" s="17">
        <v>1.78E-2</v>
      </c>
      <c r="D27" s="36">
        <v>4.0800000000000003E-3</v>
      </c>
      <c r="E27" s="36"/>
      <c r="F27" s="36">
        <v>0.74399999999999999</v>
      </c>
      <c r="G27" s="37"/>
    </row>
    <row r="28" spans="1:7" x14ac:dyDescent="0.25">
      <c r="A28" s="19" t="s">
        <v>9</v>
      </c>
      <c r="B28" s="16">
        <v>9.33</v>
      </c>
      <c r="C28" s="16">
        <v>0.41499999999999998</v>
      </c>
      <c r="D28" s="34">
        <v>2.46E-2</v>
      </c>
      <c r="E28" s="34"/>
      <c r="F28" s="34">
        <v>2.94</v>
      </c>
      <c r="G28" s="38"/>
    </row>
    <row r="29" spans="1:7" ht="30" x14ac:dyDescent="0.25">
      <c r="A29" s="28" t="s">
        <v>39</v>
      </c>
      <c r="B29" s="16">
        <v>0.93300000000000005</v>
      </c>
      <c r="C29" s="16">
        <v>4.1500000000000002E-2</v>
      </c>
      <c r="D29" s="34">
        <v>2.4599999999999999E-3</v>
      </c>
      <c r="E29" s="34"/>
      <c r="F29" s="34">
        <v>0.29399999999999998</v>
      </c>
      <c r="G29" s="38"/>
    </row>
    <row r="30" spans="1:7" ht="30" x14ac:dyDescent="0.25">
      <c r="A30" s="28" t="s">
        <v>35</v>
      </c>
      <c r="B30" s="16">
        <v>1.54</v>
      </c>
      <c r="C30" s="16">
        <v>2.52E-2</v>
      </c>
      <c r="D30" s="34">
        <v>1.2999999999999999E-2</v>
      </c>
      <c r="E30" s="34"/>
      <c r="F30" s="34">
        <v>0.313</v>
      </c>
      <c r="G30" s="38"/>
    </row>
    <row r="31" spans="1:7" x14ac:dyDescent="0.25">
      <c r="A31" s="19" t="s">
        <v>23</v>
      </c>
      <c r="B31" s="16">
        <v>-20.9</v>
      </c>
      <c r="C31" s="16">
        <v>-1.22</v>
      </c>
      <c r="D31" s="34">
        <v>-6.7600000000000004E-3</v>
      </c>
      <c r="E31" s="34"/>
      <c r="F31" s="34">
        <v>-4.54</v>
      </c>
      <c r="G31" s="38"/>
    </row>
    <row r="32" spans="1:7" x14ac:dyDescent="0.25">
      <c r="A32" s="19" t="s">
        <v>22</v>
      </c>
      <c r="B32" s="16">
        <v>-7.04</v>
      </c>
      <c r="C32" s="16">
        <v>-1.59</v>
      </c>
      <c r="D32" s="34">
        <v>-6.1199999999999997E-2</v>
      </c>
      <c r="E32" s="34"/>
      <c r="F32" s="34">
        <v>-1.74</v>
      </c>
      <c r="G32" s="38"/>
    </row>
    <row r="33" spans="1:7" ht="15.75" thickBot="1" x14ac:dyDescent="0.3">
      <c r="A33" s="8" t="s">
        <v>34</v>
      </c>
      <c r="B33" s="16">
        <v>-97.9</v>
      </c>
      <c r="C33" s="16">
        <v>-751</v>
      </c>
      <c r="D33" s="34">
        <v>-0.35499999999999998</v>
      </c>
      <c r="E33" s="34"/>
      <c r="F33" s="34">
        <v>-28.3</v>
      </c>
      <c r="G33" s="38"/>
    </row>
    <row r="34" spans="1:7" ht="15.75" thickBot="1" x14ac:dyDescent="0.3">
      <c r="A34" s="9" t="s">
        <v>17</v>
      </c>
      <c r="B34" s="18">
        <v>-112</v>
      </c>
      <c r="C34" s="18">
        <v>-753</v>
      </c>
      <c r="D34" s="35">
        <v>-0.379</v>
      </c>
      <c r="E34" s="35"/>
      <c r="F34" s="35">
        <v>-30.3</v>
      </c>
      <c r="G34" s="3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04.45" customHeight="1" thickBot="1" x14ac:dyDescent="0.3">
      <c r="A37" s="31" t="s">
        <v>41</v>
      </c>
      <c r="B37" s="32"/>
      <c r="C37" s="32"/>
      <c r="D37" s="32"/>
      <c r="E37" s="32"/>
      <c r="F37" s="32"/>
      <c r="G37" s="3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mergeCells count="29"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2026-06-21T12:42:19Z</dcterms:modified>
</cp:coreProperties>
</file>