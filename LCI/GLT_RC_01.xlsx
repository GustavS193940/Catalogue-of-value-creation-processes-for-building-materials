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1C8B93E5-0721-46D2-AF2E-20691A464D71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GLT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0" i="1" l="1"/>
  <c r="F19" i="1"/>
  <c r="F18" i="1"/>
  <c r="F17" i="1"/>
  <c r="F16" i="1"/>
  <c r="F15" i="1"/>
</calcChain>
</file>

<file path=xl/sharedStrings.xml><?xml version="1.0" encoding="utf-8"?>
<sst xmlns="http://schemas.openxmlformats.org/spreadsheetml/2006/main" count="52" uniqueCount="42">
  <si>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</si>
  <si>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</si>
  <si>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</si>
  <si>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</si>
  <si>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</si>
  <si>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</si>
  <si>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</si>
  <si>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</si>
  <si>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</si>
  <si>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</si>
  <si>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</si>
  <si>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</si>
  <si>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</si>
  <si>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</si>
  <si>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</si>
  <si>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</si>
  <si>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</si>
  <si>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</si>
  <si>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</si>
  <si>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</si>
  <si>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</si>
  <si>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</si>
  <si>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</si>
  <si>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</si>
  <si>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</si>
  <si>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</si>
  <si>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1 m³</t>
  </si>
  <si>
    <t>kg/m³</t>
  </si>
  <si>
    <t>Page 1 of 2</t>
  </si>
  <si>
    <t>tkm</t>
  </si>
  <si>
    <t>Diesel, burned in building machine {GLO}| market for diesel, burned in building machine | Cut-off, S</t>
  </si>
  <si>
    <t>Page 2 of 2</t>
  </si>
  <si>
    <t>Waste wood, untreated {GLO}| treatment of waste wood, untreated, municipal incineration | Cut-off, S</t>
  </si>
  <si>
    <t>Recycling (Particle Board)</t>
  </si>
  <si>
    <t>Avoided wood</t>
  </si>
  <si>
    <t>Incineration of residual</t>
  </si>
  <si>
    <t>m³</t>
  </si>
  <si>
    <t>GLT_RC_01 - Life Cycle Inventory</t>
  </si>
  <si>
    <t>Glue Laminated Timber (Glulam)</t>
  </si>
  <si>
    <t>1 m³ of glulam is extracted from the building diesel-driven machinery. Assumed diesel use of 1.4 L/t material based on a report from the Danish Environmental Protection Agency (2022) [1]. The glulam is transported 100 km by truck to a facility in Denmark where it replaces virgin wood in the production of particle boards. According to data received from Kronospan Novopan approximately 86% of received wood is recyclable for particle board. The remaining 14% is incinerated on site for energy recovery. Heat recovery of 1370 MJ/m³ glulam and electricity recovery of 678 MJ/m³ glulam from Danish industry EPD for glulam [2].</t>
  </si>
  <si>
    <t>Sawnwood, softwood, raw, dried (u=20%) {RER}| market for sawnwood, softwood, raw, dried (u=20%) | Cut-off, S</t>
  </si>
  <si>
    <t>Mass factor determined from Danish industry EPD for glulam MD-25108-EN [2]
Diesel density assumed to be 0.845 kg/L with an energy density of 42.7 MJ/kg.
EcoInvent process for avoided wood assumes density of 486 kg/m³, so volume has been scaled down to match the weight of the recycled wood.
[1] Miljøstyrelsen (2022): https://www2.mst.dk/Udgiv/publikationer/2022/02/978-87-7038-353-0.pdf
[2] MD-25108-EN: https://www.epddanmark.dk/media/gfhpo5gu/md-25108-en.pdf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</si>
</sst>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2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1" fontId="0" fillId="3" borderId="13" xfId="0" applyNumberFormat="1" applyFill="1" applyBorder="1" applyAlignment="1">
      <alignment vertical="center"/>
    </xf>
    <xf numFmtId="164" fontId="0" fillId="3" borderId="13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12" xfId="0" applyFill="1" applyBorder="1" applyAlignment="1">
      <alignment vertical="center" wrapText="1"/>
    </xf>
    <xf numFmtId="165" fontId="0" fillId="3" borderId="1" xfId="0" applyNumberFormat="1" applyFill="1" applyBorder="1" applyAlignment="1">
      <alignment vertical="center"/>
    </xf>
    <xf numFmtId="164" fontId="0" fillId="3" borderId="10" xfId="0" applyNumberFormat="1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11" fontId="0" fillId="3" borderId="8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1" fillId="3" borderId="4" xfId="0" applyFont="1" applyFill="1" applyBorder="1"/>
    <xf numFmtId="0" fontId="0" fillId="3" borderId="13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2" xfId="0" applyFill="1" applyBorder="1"/>
    <xf numFmtId="0" fontId="0" fillId="3" borderId="3" xfId="0" applyFill="1" applyBorder="1"/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11" fontId="0" fillId="3" borderId="4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60"/>
  <sheetViews>
    <sheetView tabSelected="1" view="pageLayout" topLeftCell="A22" zoomScaleNormal="100" workbookViewId="0">
      <selection activeCell="F33" sqref="F33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37</v>
      </c>
      <c r="B1" s="2"/>
      <c r="C1" s="23" t="s">
        <v>28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41" t="s">
        <v>38</v>
      </c>
      <c r="C3" s="42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26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434</v>
      </c>
      <c r="C6" s="4" t="s">
        <v>27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1" t="s">
        <v>33</v>
      </c>
      <c r="C8" s="42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9.5" customHeight="1" thickBot="1" x14ac:dyDescent="0.3">
      <c r="A11" s="33" t="s">
        <v>39</v>
      </c>
      <c r="B11" s="34"/>
      <c r="C11" s="34"/>
      <c r="D11" s="34"/>
      <c r="E11" s="34"/>
      <c r="F11" s="34"/>
      <c r="G11" s="35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36" t="s">
        <v>19</v>
      </c>
      <c r="C14" s="36"/>
      <c r="D14" s="36"/>
      <c r="E14" s="36"/>
      <c r="F14" s="9" t="s">
        <v>8</v>
      </c>
      <c r="G14" s="10" t="s">
        <v>1</v>
      </c>
    </row>
    <row r="15" spans="1:7" ht="32.25" customHeight="1" x14ac:dyDescent="0.25">
      <c r="A15" s="11" t="s">
        <v>20</v>
      </c>
      <c r="B15" s="38" t="s">
        <v>30</v>
      </c>
      <c r="C15" s="38"/>
      <c r="D15" s="38"/>
      <c r="E15" s="38"/>
      <c r="F15" s="20">
        <f>B6*1.4/1000*0.845*42.7</f>
        <v>21.923119399999997</v>
      </c>
      <c r="G15" s="12" t="s">
        <v>25</v>
      </c>
    </row>
    <row r="16" spans="1:7" ht="45" customHeight="1" x14ac:dyDescent="0.25">
      <c r="A16" s="18" t="s">
        <v>9</v>
      </c>
      <c r="B16" s="37" t="s">
        <v>18</v>
      </c>
      <c r="C16" s="37"/>
      <c r="D16" s="37"/>
      <c r="E16" s="37"/>
      <c r="F16" s="22">
        <f>B6*100/1000</f>
        <v>43.4</v>
      </c>
      <c r="G16" s="19" t="s">
        <v>29</v>
      </c>
    </row>
    <row r="17" spans="1:7" ht="30.75" customHeight="1" x14ac:dyDescent="0.25">
      <c r="A17" s="26" t="s">
        <v>35</v>
      </c>
      <c r="B17" s="37" t="s">
        <v>32</v>
      </c>
      <c r="C17" s="37"/>
      <c r="D17" s="37"/>
      <c r="E17" s="37"/>
      <c r="F17" s="22">
        <f>B6*0.14</f>
        <v>60.760000000000005</v>
      </c>
      <c r="G17" s="19" t="s">
        <v>10</v>
      </c>
    </row>
    <row r="18" spans="1:7" ht="45.75" customHeight="1" x14ac:dyDescent="0.25">
      <c r="A18" s="18" t="s">
        <v>23</v>
      </c>
      <c r="B18" s="37" t="s">
        <v>24</v>
      </c>
      <c r="C18" s="37"/>
      <c r="D18" s="37"/>
      <c r="E18" s="37"/>
      <c r="F18" s="21">
        <f>-1370*0.14</f>
        <v>-191.8</v>
      </c>
      <c r="G18" s="19" t="s">
        <v>25</v>
      </c>
    </row>
    <row r="19" spans="1:7" ht="15.75" customHeight="1" x14ac:dyDescent="0.25">
      <c r="A19" s="24" t="s">
        <v>22</v>
      </c>
      <c r="B19" s="39" t="s">
        <v>21</v>
      </c>
      <c r="C19" s="39"/>
      <c r="D19" s="39"/>
      <c r="E19" s="39"/>
      <c r="F19" s="28">
        <f>-678*0.14</f>
        <v>-94.920000000000016</v>
      </c>
      <c r="G19" s="25" t="s">
        <v>25</v>
      </c>
    </row>
    <row r="20" spans="1:7" ht="31.5" customHeight="1" thickBot="1" x14ac:dyDescent="0.3">
      <c r="A20" s="7" t="s">
        <v>34</v>
      </c>
      <c r="B20" s="40" t="s">
        <v>40</v>
      </c>
      <c r="C20" s="40"/>
      <c r="D20" s="40"/>
      <c r="E20" s="40"/>
      <c r="F20" s="27">
        <f>-B6/486*0.86</f>
        <v>-0.76798353909465022</v>
      </c>
      <c r="G20" s="13" t="s">
        <v>36</v>
      </c>
    </row>
    <row r="21" spans="1:7" ht="195" customHeight="1" x14ac:dyDescent="0.25">
      <c r="A21" s="4"/>
      <c r="B21" s="4"/>
      <c r="C21" s="4"/>
      <c r="D21" s="4"/>
      <c r="E21" s="4"/>
      <c r="F21" s="4"/>
      <c r="G21" s="4"/>
    </row>
    <row r="22" spans="1:7" s="1" customFormat="1" ht="15.75" thickBot="1" x14ac:dyDescent="0.3">
      <c r="A22" s="2" t="s">
        <v>37</v>
      </c>
      <c r="B22" s="2"/>
      <c r="C22" s="23" t="s">
        <v>31</v>
      </c>
      <c r="D22" s="2"/>
      <c r="E22" s="2"/>
      <c r="F22" s="2"/>
      <c r="G22" s="3">
        <v>46191</v>
      </c>
    </row>
    <row r="23" spans="1:7" x14ac:dyDescent="0.25">
      <c r="A23" s="4"/>
      <c r="B23" s="4"/>
      <c r="C23" s="4"/>
      <c r="D23" s="4"/>
      <c r="E23" s="4"/>
      <c r="F23" s="4"/>
      <c r="G23" s="4"/>
    </row>
    <row r="24" spans="1:7" ht="15.75" thickBot="1" x14ac:dyDescent="0.3">
      <c r="A24" s="5" t="s">
        <v>11</v>
      </c>
      <c r="B24" s="4"/>
      <c r="C24" s="4"/>
      <c r="D24" s="4"/>
      <c r="E24" s="4"/>
      <c r="F24" s="4"/>
      <c r="G24" s="4"/>
    </row>
    <row r="25" spans="1:7" ht="47.25" thickBot="1" x14ac:dyDescent="0.4">
      <c r="A25" s="8" t="s">
        <v>3</v>
      </c>
      <c r="B25" s="14" t="s">
        <v>16</v>
      </c>
      <c r="C25" s="14" t="s">
        <v>13</v>
      </c>
      <c r="D25" s="29" t="s">
        <v>14</v>
      </c>
      <c r="E25" s="29"/>
      <c r="F25" s="29" t="s">
        <v>15</v>
      </c>
      <c r="G25" s="30"/>
    </row>
    <row r="26" spans="1:7" x14ac:dyDescent="0.25">
      <c r="A26" s="11" t="s">
        <v>20</v>
      </c>
      <c r="B26" s="16">
        <v>2.25</v>
      </c>
      <c r="C26" s="16">
        <v>1.5800000000000002E-2</v>
      </c>
      <c r="D26" s="31">
        <v>3.62E-3</v>
      </c>
      <c r="E26" s="31"/>
      <c r="F26" s="31">
        <v>0.66</v>
      </c>
      <c r="G26" s="47"/>
    </row>
    <row r="27" spans="1:7" x14ac:dyDescent="0.25">
      <c r="A27" s="18" t="s">
        <v>9</v>
      </c>
      <c r="B27" s="15">
        <v>8.3000000000000007</v>
      </c>
      <c r="C27" s="15">
        <v>0.36899999999999999</v>
      </c>
      <c r="D27" s="32">
        <v>2.1899999999999999E-2</v>
      </c>
      <c r="E27" s="32"/>
      <c r="F27" s="32">
        <v>2.62</v>
      </c>
      <c r="G27" s="48"/>
    </row>
    <row r="28" spans="1:7" ht="30" x14ac:dyDescent="0.25">
      <c r="A28" s="26" t="s">
        <v>35</v>
      </c>
      <c r="B28" s="15">
        <v>0.95899999999999996</v>
      </c>
      <c r="C28" s="15">
        <v>1.5699999999999999E-2</v>
      </c>
      <c r="D28" s="32">
        <v>8.09E-3</v>
      </c>
      <c r="E28" s="32"/>
      <c r="F28" s="32">
        <v>0.19500000000000001</v>
      </c>
      <c r="G28" s="48"/>
    </row>
    <row r="29" spans="1:7" x14ac:dyDescent="0.25">
      <c r="A29" s="18" t="s">
        <v>23</v>
      </c>
      <c r="B29" s="15">
        <v>-14</v>
      </c>
      <c r="C29" s="15">
        <v>-0.81899999999999995</v>
      </c>
      <c r="D29" s="32">
        <v>-4.5399999999999998E-3</v>
      </c>
      <c r="E29" s="32"/>
      <c r="F29" s="32">
        <v>-3.05</v>
      </c>
      <c r="G29" s="48"/>
    </row>
    <row r="30" spans="1:7" x14ac:dyDescent="0.25">
      <c r="A30" s="18" t="s">
        <v>22</v>
      </c>
      <c r="B30" s="15">
        <v>-4.7</v>
      </c>
      <c r="C30" s="15">
        <v>-1.06</v>
      </c>
      <c r="D30" s="32">
        <v>-4.0899999999999999E-2</v>
      </c>
      <c r="E30" s="32"/>
      <c r="F30" s="32">
        <v>-1.1599999999999999</v>
      </c>
      <c r="G30" s="48"/>
    </row>
    <row r="31" spans="1:7" ht="15.75" thickBot="1" x14ac:dyDescent="0.3">
      <c r="A31" s="7" t="s">
        <v>34</v>
      </c>
      <c r="B31" s="15">
        <v>-48.1</v>
      </c>
      <c r="C31" s="15">
        <v>-488</v>
      </c>
      <c r="D31" s="32">
        <v>-0.18</v>
      </c>
      <c r="E31" s="32"/>
      <c r="F31" s="32">
        <v>-14.2</v>
      </c>
      <c r="G31" s="48"/>
    </row>
    <row r="32" spans="1:7" ht="15.75" thickBot="1" x14ac:dyDescent="0.3">
      <c r="A32" s="8" t="s">
        <v>17</v>
      </c>
      <c r="B32" s="17">
        <v>-55.3</v>
      </c>
      <c r="C32" s="17">
        <v>-489</v>
      </c>
      <c r="D32" s="46">
        <v>-0.192</v>
      </c>
      <c r="E32" s="46"/>
      <c r="F32" s="46">
        <v>-15</v>
      </c>
      <c r="G32" s="49"/>
    </row>
    <row r="33" spans="1:7" x14ac:dyDescent="0.25">
      <c r="A33" s="4"/>
      <c r="B33" s="4"/>
      <c r="C33" s="4"/>
      <c r="D33" s="4"/>
      <c r="E33" s="4"/>
      <c r="F33" s="4"/>
      <c r="G33" s="4"/>
    </row>
    <row r="34" spans="1:7" ht="15.75" thickBot="1" x14ac:dyDescent="0.3">
      <c r="A34" s="5" t="s">
        <v>12</v>
      </c>
      <c r="B34" s="4"/>
      <c r="C34" s="4"/>
      <c r="D34" s="4"/>
      <c r="E34" s="4"/>
      <c r="F34" s="4"/>
      <c r="G34" s="4"/>
    </row>
    <row r="35" spans="1:7" ht="96" customHeight="1" thickBot="1" x14ac:dyDescent="0.3">
      <c r="A35" s="43" t="s">
        <v>41</v>
      </c>
      <c r="B35" s="44"/>
      <c r="C35" s="44"/>
      <c r="D35" s="44"/>
      <c r="E35" s="44"/>
      <c r="F35" s="44"/>
      <c r="G35" s="45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</sheetData>
  <mergeCells count="27">
    <mergeCell ref="B3:C3"/>
    <mergeCell ref="A35:G35"/>
    <mergeCell ref="D30:E30"/>
    <mergeCell ref="D32:E32"/>
    <mergeCell ref="F26:G26"/>
    <mergeCell ref="F27:G27"/>
    <mergeCell ref="F30:G30"/>
    <mergeCell ref="F32:G32"/>
    <mergeCell ref="D28:E28"/>
    <mergeCell ref="F28:G28"/>
    <mergeCell ref="D29:E29"/>
    <mergeCell ref="F29:G29"/>
    <mergeCell ref="D31:E31"/>
    <mergeCell ref="F31:G31"/>
    <mergeCell ref="B8:C8"/>
    <mergeCell ref="D25:E25"/>
    <mergeCell ref="F25:G25"/>
    <mergeCell ref="D26:E26"/>
    <mergeCell ref="D27:E27"/>
    <mergeCell ref="A11:G11"/>
    <mergeCell ref="B14:E14"/>
    <mergeCell ref="B16:E16"/>
    <mergeCell ref="B17:E17"/>
    <mergeCell ref="B15:E15"/>
    <mergeCell ref="B19:E19"/>
    <mergeCell ref="B18:E18"/>
    <mergeCell ref="B20:E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GLT_RC_01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2026-06-20T13:28:00Z</dcterms:modified>
</cp:coreProperties>
</file>