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2C683738-188A-4EB3-B0E2-B36B64FD8594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WF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/>
</calcChain>
</file>

<file path=xl/sharedStrings.xml><?xml version="1.0" encoding="utf-8"?>
<sst xmlns="http://schemas.openxmlformats.org/spreadsheetml/2006/main" count="48" uniqueCount="40">
  <si>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</si>
  <si>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</si>
  <si>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</si>
  <si>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</si>
  <si>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</si>
  <si>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</si>
  <si>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</si>
  <si>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</si>
  <si>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</si>
  <si>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</si>
  <si>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</si>
  <si>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</si>
  <si>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</si>
  <si>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</si>
  <si>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</si>
  <si>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</si>
  <si>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</si>
  <si>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</si>
  <si>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</si>
  <si>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</si>
  <si>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</si>
  <si>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</si>
  <si>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</si>
  <si>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</si>
  <si>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</si>
  <si>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Page 1 of 2</t>
  </si>
  <si>
    <t>Page 2 of 2</t>
  </si>
  <si>
    <t>Waste wood, untreated {GLO}| treatment of waste wood, untreated, municipal incineration | Cut-off, S</t>
  </si>
  <si>
    <t>Wood Floor</t>
  </si>
  <si>
    <t>1 m²</t>
  </si>
  <si>
    <t>kg/m²</t>
  </si>
  <si>
    <t>WF_RC_01 - Life Cycle Inventory</t>
  </si>
  <si>
    <t>Recycling (Particle Board)</t>
  </si>
  <si>
    <t>1 m² of wood floor is extracted from the building by hand. The wood floor is transported 100 km by truck to a facility in Denmark where it replaces virgin wood in the production of particle boards. According to data received from Kronospan Novopan approximately 86% of received wood is recyclable for particle board. The remaining 14% is incinerated on site for energy recovery. Heat recovery of 2.98 MJ/kg wood floor and electricity recovery of 2.73 MJ/kg wood calculated as an average from Junckers floor EPDs [1, 2, 3, 4].</t>
  </si>
  <si>
    <t>tkm</t>
  </si>
  <si>
    <t>Incineration of residual</t>
  </si>
  <si>
    <t>Avoided wood</t>
  </si>
  <si>
    <t>Sawnwood, softwood, raw, dried (u=20%) {RER}| market for sawnwood, softwood, raw, dried (u=20%) | Cut-off, S</t>
  </si>
  <si>
    <t>m³</t>
  </si>
  <si>
    <t>Mass factor determined from BR18, appendix 2, table 7 ID #G1134.
EcoInvent process for avoided wood assumes density of 486 kg/m³, so volume has been scaled to match the weight of the recycled wood.
[1] MD-25119-EN: https://www.epddanmark.dk/media/ohcf1221/md-25119-en.pdf
[2] MD-25120-EN: https://www.epddanmark.dk/media/ar0npdln/md-25120-en.pdf
[3] MD-25122-EN: https://www.epddanmark.dk/media/vobe2dbg/md-25122-en.pdf
[4] MD-25123-EN: https://www.epddanmark.dk/media/cr5k1nvg/md-25123-en.pdf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</si>
</sst>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0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1" xfId="0" applyFill="1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vertical="center"/>
    </xf>
    <xf numFmtId="0" fontId="0" fillId="3" borderId="10" xfId="0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0" fontId="0" fillId="3" borderId="13" xfId="0" applyFill="1" applyBorder="1" applyAlignment="1">
      <alignment vertical="center"/>
    </xf>
    <xf numFmtId="0" fontId="0" fillId="3" borderId="8" xfId="0" applyFill="1" applyBorder="1" applyAlignment="1">
      <alignment wrapText="1"/>
    </xf>
    <xf numFmtId="0" fontId="0" fillId="3" borderId="9" xfId="0" applyFill="1" applyBorder="1" applyAlignment="1">
      <alignment vertical="center"/>
    </xf>
    <xf numFmtId="2" fontId="0" fillId="3" borderId="8" xfId="0" applyNumberFormat="1" applyFill="1" applyBorder="1" applyAlignment="1">
      <alignment vertical="center"/>
    </xf>
    <xf numFmtId="166" fontId="0" fillId="3" borderId="1" xfId="0" applyNumberFormat="1" applyFill="1" applyBorder="1" applyAlignment="1">
      <alignment vertical="center"/>
    </xf>
    <xf numFmtId="11" fontId="0" fillId="3" borderId="1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2"/>
  <sheetViews>
    <sheetView tabSelected="1" view="pageLayout" zoomScaleNormal="100" workbookViewId="0">
      <selection activeCell="E29" sqref="E29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31</v>
      </c>
      <c r="B1" s="2"/>
      <c r="C1" s="19" t="s">
        <v>25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29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11.5</v>
      </c>
      <c r="C6" s="4" t="s">
        <v>30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0" t="s">
        <v>32</v>
      </c>
      <c r="C8" s="2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93" customHeight="1" thickBot="1" x14ac:dyDescent="0.3">
      <c r="A11" s="25" t="s">
        <v>33</v>
      </c>
      <c r="B11" s="26"/>
      <c r="C11" s="26"/>
      <c r="D11" s="26"/>
      <c r="E11" s="26"/>
      <c r="F11" s="26"/>
      <c r="G11" s="27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28" t="s">
        <v>19</v>
      </c>
      <c r="C14" s="28"/>
      <c r="D14" s="28"/>
      <c r="E14" s="28"/>
      <c r="F14" s="10" t="s">
        <v>8</v>
      </c>
      <c r="G14" s="11" t="s">
        <v>1</v>
      </c>
    </row>
    <row r="15" spans="1:7" ht="45" customHeight="1" x14ac:dyDescent="0.25">
      <c r="A15" s="17" t="s">
        <v>9</v>
      </c>
      <c r="B15" s="29" t="s">
        <v>18</v>
      </c>
      <c r="C15" s="29"/>
      <c r="D15" s="29"/>
      <c r="E15" s="29"/>
      <c r="F15" s="36">
        <f>B6*100/1000</f>
        <v>1.1499999999999999</v>
      </c>
      <c r="G15" s="18" t="s">
        <v>34</v>
      </c>
    </row>
    <row r="16" spans="1:7" ht="30.75" customHeight="1" x14ac:dyDescent="0.25">
      <c r="A16" s="37" t="s">
        <v>35</v>
      </c>
      <c r="B16" s="29" t="s">
        <v>27</v>
      </c>
      <c r="C16" s="29"/>
      <c r="D16" s="29"/>
      <c r="E16" s="29"/>
      <c r="F16" s="36">
        <f>B6*0.14</f>
        <v>1.61</v>
      </c>
      <c r="G16" s="18" t="s">
        <v>10</v>
      </c>
    </row>
    <row r="17" spans="1:7" ht="45.75" customHeight="1" x14ac:dyDescent="0.25">
      <c r="A17" s="17" t="s">
        <v>22</v>
      </c>
      <c r="B17" s="29" t="s">
        <v>23</v>
      </c>
      <c r="C17" s="29"/>
      <c r="D17" s="29"/>
      <c r="E17" s="29"/>
      <c r="F17" s="36">
        <f>-2.98*B6*0.14</f>
        <v>-4.7978000000000005</v>
      </c>
      <c r="G17" s="18" t="s">
        <v>24</v>
      </c>
    </row>
    <row r="18" spans="1:7" ht="15.75" customHeight="1" x14ac:dyDescent="0.25">
      <c r="A18" s="39" t="s">
        <v>21</v>
      </c>
      <c r="B18" s="40" t="s">
        <v>20</v>
      </c>
      <c r="C18" s="40"/>
      <c r="D18" s="40"/>
      <c r="E18" s="40"/>
      <c r="F18" s="42">
        <f>-2.73*B6*0.14</f>
        <v>-4.3953000000000007</v>
      </c>
      <c r="G18" s="41" t="s">
        <v>24</v>
      </c>
    </row>
    <row r="19" spans="1:7" ht="31.5" customHeight="1" thickBot="1" x14ac:dyDescent="0.3">
      <c r="A19" s="8" t="s">
        <v>36</v>
      </c>
      <c r="B19" s="38" t="s">
        <v>37</v>
      </c>
      <c r="C19" s="38"/>
      <c r="D19" s="38"/>
      <c r="E19" s="38"/>
      <c r="F19" s="43">
        <f>-B6*0.86/486</f>
        <v>-2.034979423868313E-2</v>
      </c>
      <c r="G19" s="12" t="s">
        <v>38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3" t="s">
        <v>16</v>
      </c>
      <c r="C22" s="13" t="s">
        <v>13</v>
      </c>
      <c r="D22" s="22" t="s">
        <v>14</v>
      </c>
      <c r="E22" s="22"/>
      <c r="F22" s="22" t="s">
        <v>15</v>
      </c>
      <c r="G22" s="23"/>
    </row>
    <row r="23" spans="1:7" x14ac:dyDescent="0.25">
      <c r="A23" s="17" t="s">
        <v>9</v>
      </c>
      <c r="B23" s="14">
        <v>0.22</v>
      </c>
      <c r="C23" s="14">
        <v>9.7800000000000005E-3</v>
      </c>
      <c r="D23" s="24">
        <v>5.8E-4</v>
      </c>
      <c r="E23" s="24"/>
      <c r="F23" s="24">
        <v>6.93E-2</v>
      </c>
      <c r="G23" s="34"/>
    </row>
    <row r="24" spans="1:7" ht="30" x14ac:dyDescent="0.25">
      <c r="A24" s="37" t="s">
        <v>35</v>
      </c>
      <c r="B24" s="14">
        <v>3.5400000000000001E-2</v>
      </c>
      <c r="C24" s="14">
        <v>4.1599999999999997E-4</v>
      </c>
      <c r="D24" s="24">
        <v>2.14E-4</v>
      </c>
      <c r="E24" s="24"/>
      <c r="F24" s="24">
        <v>5.1700000000000001E-3</v>
      </c>
      <c r="G24" s="34"/>
    </row>
    <row r="25" spans="1:7" x14ac:dyDescent="0.25">
      <c r="A25" s="17" t="s">
        <v>22</v>
      </c>
      <c r="B25" s="14">
        <v>-0.35</v>
      </c>
      <c r="C25" s="14">
        <v>-2.0500000000000001E-2</v>
      </c>
      <c r="D25" s="24">
        <v>-1.1400000000000001E-4</v>
      </c>
      <c r="E25" s="24"/>
      <c r="F25" s="24">
        <v>-7.6100000000000001E-2</v>
      </c>
      <c r="G25" s="34"/>
    </row>
    <row r="26" spans="1:7" x14ac:dyDescent="0.25">
      <c r="A26" s="39" t="s">
        <v>21</v>
      </c>
      <c r="B26" s="14">
        <v>-0.218</v>
      </c>
      <c r="C26" s="14">
        <v>-4.9299999999999997E-2</v>
      </c>
      <c r="D26" s="24">
        <v>-1.9E-3</v>
      </c>
      <c r="E26" s="24"/>
      <c r="F26" s="24">
        <v>-5.3800000000000001E-2</v>
      </c>
      <c r="G26" s="34"/>
    </row>
    <row r="27" spans="1:7" ht="15.75" thickBot="1" x14ac:dyDescent="0.3">
      <c r="A27" s="8" t="s">
        <v>36</v>
      </c>
      <c r="B27" s="15">
        <v>-1.27</v>
      </c>
      <c r="C27" s="15">
        <v>-12.9</v>
      </c>
      <c r="D27" s="44">
        <v>-4.7600000000000003E-3</v>
      </c>
      <c r="E27" s="44"/>
      <c r="F27" s="44">
        <v>-0.377</v>
      </c>
      <c r="G27" s="45"/>
    </row>
    <row r="28" spans="1:7" ht="15.75" thickBot="1" x14ac:dyDescent="0.3">
      <c r="A28" s="9" t="s">
        <v>17</v>
      </c>
      <c r="B28" s="16">
        <v>-1.59</v>
      </c>
      <c r="C28" s="16">
        <v>-13</v>
      </c>
      <c r="D28" s="33">
        <v>-5.9800000000000001E-3</v>
      </c>
      <c r="E28" s="33"/>
      <c r="F28" s="33">
        <v>-0.432</v>
      </c>
      <c r="G28" s="35"/>
    </row>
    <row r="29" spans="1:7" ht="67.5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31</v>
      </c>
      <c r="B30" s="2"/>
      <c r="C30" s="19" t="s">
        <v>26</v>
      </c>
      <c r="D30" s="2"/>
      <c r="E30" s="2"/>
      <c r="F30" s="2"/>
      <c r="G30" s="3">
        <v>46194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108" customHeight="1" thickBot="1" x14ac:dyDescent="0.3">
      <c r="A33" s="30" t="s">
        <v>39</v>
      </c>
      <c r="B33" s="31"/>
      <c r="C33" s="31"/>
      <c r="D33" s="31"/>
      <c r="E33" s="31"/>
      <c r="F33" s="31"/>
      <c r="G33" s="32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4"/>
      <c r="B72" s="4"/>
      <c r="C72" s="4"/>
      <c r="D72" s="4"/>
      <c r="E72" s="4"/>
      <c r="F72" s="4"/>
      <c r="G72" s="4"/>
    </row>
  </sheetData>
  <mergeCells count="23">
    <mergeCell ref="A33:G33"/>
    <mergeCell ref="D26:E26"/>
    <mergeCell ref="D28:E28"/>
    <mergeCell ref="F23:G23"/>
    <mergeCell ref="F26:G26"/>
    <mergeCell ref="F28:G28"/>
    <mergeCell ref="D24:E24"/>
    <mergeCell ref="F24:G24"/>
    <mergeCell ref="D25:E25"/>
    <mergeCell ref="F25:G25"/>
    <mergeCell ref="D27:E27"/>
    <mergeCell ref="F27:G27"/>
    <mergeCell ref="B8:C8"/>
    <mergeCell ref="D22:E22"/>
    <mergeCell ref="F22:G22"/>
    <mergeCell ref="D23:E23"/>
    <mergeCell ref="A11:G11"/>
    <mergeCell ref="B14:E14"/>
    <mergeCell ref="B15:E15"/>
    <mergeCell ref="B16:E16"/>
    <mergeCell ref="B18:E18"/>
    <mergeCell ref="B17:E17"/>
    <mergeCell ref="B19:E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WF_RC_01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2026-06-21T11:24:46Z</dcterms:modified>
</cp:coreProperties>
</file>