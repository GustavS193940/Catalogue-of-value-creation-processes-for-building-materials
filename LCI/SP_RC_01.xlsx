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49C3CA80-890D-411D-9C41-F25DC53F4517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P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<sst xmlns="http://schemas.openxmlformats.org/spreadsheetml/2006/main" count="42" uniqueCount="36">
  <si>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</si>
  <si>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</si>
  <si>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</si>
  <si>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</si>
  <si>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</si>
  <si>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</si>
  <si>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</si>
  <si>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</si>
  <si>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</si>
  <si>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</si>
  <si>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</si>
  <si>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</si>
  <si>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</si>
  <si>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</si>
  <si>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</si>
  <si>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</si>
  <si>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</si>
  <si>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</si>
  <si>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</si>
  <si>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</si>
  <si>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Page 1 of 1</t>
  </si>
  <si>
    <t>1 kg</t>
  </si>
  <si>
    <t>kg/kg</t>
  </si>
  <si>
    <t>Transport, freight, lorry, &gt;32 metric ton, diesel, EURO 6 {RER}| market for transport, freight, lorry, &gt;32 metric ton, diesel, EURO 6 | Cut-off, S</t>
  </si>
  <si>
    <t>Avoided steel</t>
  </si>
  <si>
    <t>Melting</t>
  </si>
  <si>
    <t>Recycling</t>
  </si>
  <si>
    <t>Electricity, low voltage {DK}| market for | Cut-off, S</t>
  </si>
  <si>
    <t>J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</si>
  <si>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</si>
  <si>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</si>
  <si>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Steel Profiles</t>
  </si>
  <si>
    <t>SP_RC_01 - Life Cycle Inventory</t>
  </si>
  <si>
    <t>tkm</t>
  </si>
  <si>
    <t>1 kg steel profiles are extracted from the building using electric tools. Assumed electricity use of 0.989 kJ/kg steel based on reference calculation [1]. The steel profiles are transported 1000 km by truck to a facility in Europe where they are melted, replacing virgin steel in the production of new steel.</t>
  </si>
  <si>
    <t>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</si>
</sst>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26" sqref="A2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32</v>
      </c>
      <c r="B1" s="2"/>
      <c r="C1" s="22" t="s">
        <v>20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8">
        <v>1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26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0" t="s">
        <v>34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5" t="s">
        <v>18</v>
      </c>
      <c r="C14" s="45"/>
      <c r="D14" s="45"/>
      <c r="E14" s="45"/>
      <c r="F14" s="10" t="s">
        <v>8</v>
      </c>
      <c r="G14" s="11" t="s">
        <v>1</v>
      </c>
    </row>
    <row r="15" spans="1:7" x14ac:dyDescent="0.25">
      <c r="A15" s="12" t="s">
        <v>19</v>
      </c>
      <c r="B15" s="48" t="s">
        <v>27</v>
      </c>
      <c r="C15" s="48"/>
      <c r="D15" s="48"/>
      <c r="E15" s="48"/>
      <c r="F15" s="26">
        <f>B6*0.989*1000</f>
        <v>989</v>
      </c>
      <c r="G15" s="13" t="s">
        <v>28</v>
      </c>
    </row>
    <row r="16" spans="1:7" ht="45" customHeight="1" x14ac:dyDescent="0.25">
      <c r="A16" s="20" t="s">
        <v>9</v>
      </c>
      <c r="B16" s="46" t="s">
        <v>23</v>
      </c>
      <c r="C16" s="46"/>
      <c r="D16" s="46"/>
      <c r="E16" s="46"/>
      <c r="F16" s="29">
        <f>B6*1000/1000</f>
        <v>1</v>
      </c>
      <c r="G16" s="21" t="s">
        <v>33</v>
      </c>
    </row>
    <row r="17" spans="1:7" ht="46.5" customHeight="1" x14ac:dyDescent="0.25">
      <c r="A17" s="24" t="s">
        <v>25</v>
      </c>
      <c r="B17" s="49" t="s">
        <v>30</v>
      </c>
      <c r="C17" s="49"/>
      <c r="D17" s="49"/>
      <c r="E17" s="49"/>
      <c r="F17" s="27">
        <f>B6</f>
        <v>1</v>
      </c>
      <c r="G17" s="25" t="s">
        <v>10</v>
      </c>
    </row>
    <row r="18" spans="1:7" ht="30.75" customHeight="1" thickBot="1" x14ac:dyDescent="0.3">
      <c r="A18" s="8" t="s">
        <v>24</v>
      </c>
      <c r="B18" s="47" t="s">
        <v>29</v>
      </c>
      <c r="C18" s="47"/>
      <c r="D18" s="47"/>
      <c r="E18" s="47"/>
      <c r="F18" s="23">
        <f>-B6</f>
        <v>-1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16</v>
      </c>
      <c r="C21" s="15" t="s">
        <v>13</v>
      </c>
      <c r="D21" s="43" t="s">
        <v>14</v>
      </c>
      <c r="E21" s="43"/>
      <c r="F21" s="43" t="s">
        <v>15</v>
      </c>
      <c r="G21" s="44"/>
    </row>
    <row r="22" spans="1:7" x14ac:dyDescent="0.25">
      <c r="A22" s="12" t="s">
        <v>19</v>
      </c>
      <c r="B22" s="17">
        <v>4.8999999999999998E-5</v>
      </c>
      <c r="C22" s="17">
        <v>1.11E-5</v>
      </c>
      <c r="D22" s="35">
        <v>4.2599999999999998E-7</v>
      </c>
      <c r="E22" s="35"/>
      <c r="F22" s="35">
        <v>1.2099999999999999E-5</v>
      </c>
      <c r="G22" s="36"/>
    </row>
    <row r="23" spans="1:7" x14ac:dyDescent="0.25">
      <c r="A23" s="20" t="s">
        <v>9</v>
      </c>
      <c r="B23" s="16">
        <v>0.104</v>
      </c>
      <c r="C23" s="16">
        <v>7.9699999999999997E-3</v>
      </c>
      <c r="D23" s="37">
        <v>2.63E-4</v>
      </c>
      <c r="E23" s="37"/>
      <c r="F23" s="37">
        <v>3.5099999999999999E-2</v>
      </c>
      <c r="G23" s="38"/>
    </row>
    <row r="24" spans="1:7" x14ac:dyDescent="0.25">
      <c r="A24" s="20" t="s">
        <v>25</v>
      </c>
      <c r="B24" s="16">
        <v>0.755</v>
      </c>
      <c r="C24" s="16">
        <v>1.61E-2</v>
      </c>
      <c r="D24" s="37">
        <v>1.99E-3</v>
      </c>
      <c r="E24" s="37"/>
      <c r="F24" s="37">
        <v>0.247</v>
      </c>
      <c r="G24" s="38"/>
    </row>
    <row r="25" spans="1:7" ht="15.75" thickBot="1" x14ac:dyDescent="0.3">
      <c r="A25" s="8" t="s">
        <v>24</v>
      </c>
      <c r="B25" s="18">
        <v>-1.88</v>
      </c>
      <c r="C25" s="18">
        <v>-3.95E-2</v>
      </c>
      <c r="D25" s="33">
        <v>-6.4799999999999996E-2</v>
      </c>
      <c r="E25" s="33"/>
      <c r="F25" s="33">
        <v>-0.42099999999999999</v>
      </c>
      <c r="G25" s="39"/>
    </row>
    <row r="26" spans="1:7" ht="15.75" thickBot="1" x14ac:dyDescent="0.3">
      <c r="A26" s="9" t="s">
        <v>17</v>
      </c>
      <c r="B26" s="19">
        <v>-1.02</v>
      </c>
      <c r="C26" s="19">
        <v>-1.55E-2</v>
      </c>
      <c r="D26" s="34">
        <v>-6.2600000000000003E-2</v>
      </c>
      <c r="E26" s="34"/>
      <c r="F26" s="34">
        <v>-0.13900000000000001</v>
      </c>
      <c r="G26" s="40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0" t="s">
        <v>35</v>
      </c>
      <c r="B29" s="31"/>
      <c r="C29" s="31"/>
      <c r="D29" s="31"/>
      <c r="E29" s="31"/>
      <c r="F29" s="31"/>
      <c r="G29" s="32"/>
    </row>
  </sheetData>
  <mergeCells count="20"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SP_RC_01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2026-06-21T20:29:17Z</dcterms:modified>
</cp:coreProperties>
</file>