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CA73BD16-C302-4862-BA48-3F7004F17045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GB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<sst xmlns="http://schemas.openxmlformats.org/spreadsheetml/2006/main" count="38" uniqueCount="33">
  <si>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</si>
  <si>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</si>
  <si>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</si>
  <si>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</si>
  <si>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</si>
  <si>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</si>
  <si>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</si>
  <si>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</si>
  <si>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</si>
  <si>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</si>
  <si>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</si>
  <si>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</si>
  <si>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</si>
  <si>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</si>
  <si>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</si>
  <si>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</si>
  <si>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</si>
  <si>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</si>
  <si>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</si>
  <si>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</si>
  <si>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</si>
  <si>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</si>
  <si>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</si>
  <si>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</si>
  <si>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GB_LF_01 - Life Cycle Inventory</t>
  </si>
  <si>
    <t>Gypsum Boards</t>
  </si>
  <si>
    <t>1 m²</t>
  </si>
  <si>
    <t>kg/m²</t>
  </si>
  <si>
    <t>Mass factor determined from BR18, appendix 2, table 7 ID #D1515.
Diesel density assumed to be 0.845 kg/L with an energy density of 42.7 MJ/kg.
[1] Miljøstyrelsen: https://www2.mst.dk/Udgiv/publikationer/2022/02/978-87-7038-353-0.pdf</t>
  </si>
  <si>
    <t>1 m² of 12.5 mm thick gypsum board is extracted from the building using diesel-driven machinery. Assumed diesel use of 1.4 L/t material based on a report from the Danish Environmental Protection Agency [1]. The gypsum board is transported 50 km by truck to a municipal landfill site.</t>
  </si>
  <si>
    <t>kgkm</t>
  </si>
  <si>
    <t>Waste gypsum {Europe without Switzerland}| treatment of waste gypsum, inert material landfill | Cut-off, S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</si>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</sst>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2" fontId="0" fillId="3" borderId="9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1" fontId="0" fillId="3" borderId="16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topLeftCell="A8" zoomScaleNormal="100" workbookViewId="0">
      <selection activeCell="A11" sqref="A11:G1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24</v>
      </c>
      <c r="B1" s="2"/>
      <c r="C1" s="45" t="s">
        <v>32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25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v>9.1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7" t="s">
        <v>20</v>
      </c>
      <c r="C8" s="38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6" t="s">
        <v>29</v>
      </c>
      <c r="B11" s="27"/>
      <c r="C11" s="27"/>
      <c r="D11" s="27"/>
      <c r="E11" s="27"/>
      <c r="F11" s="27"/>
      <c r="G11" s="2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1" t="s">
        <v>19</v>
      </c>
      <c r="C14" s="41"/>
      <c r="D14" s="41"/>
      <c r="E14" s="41"/>
      <c r="F14" s="10" t="s">
        <v>8</v>
      </c>
      <c r="G14" s="11" t="s">
        <v>1</v>
      </c>
    </row>
    <row r="15" spans="1:7" ht="32.25" customHeight="1" x14ac:dyDescent="0.25">
      <c r="A15" s="12" t="s">
        <v>21</v>
      </c>
      <c r="B15" s="44" t="s">
        <v>22</v>
      </c>
      <c r="C15" s="44"/>
      <c r="D15" s="44"/>
      <c r="E15" s="44"/>
      <c r="F15" s="22">
        <f>B6*1.4/1000*0.845*42.7</f>
        <v>0.45967830999999998</v>
      </c>
      <c r="G15" s="13" t="s">
        <v>23</v>
      </c>
    </row>
    <row r="16" spans="1:7" ht="45" customHeight="1" x14ac:dyDescent="0.25">
      <c r="A16" s="20" t="s">
        <v>9</v>
      </c>
      <c r="B16" s="42" t="s">
        <v>18</v>
      </c>
      <c r="C16" s="42"/>
      <c r="D16" s="42"/>
      <c r="E16" s="42"/>
      <c r="F16" s="24">
        <f>B6*50</f>
        <v>455</v>
      </c>
      <c r="G16" s="21" t="s">
        <v>30</v>
      </c>
    </row>
    <row r="17" spans="1:7" ht="32.25" customHeight="1" thickBot="1" x14ac:dyDescent="0.3">
      <c r="A17" s="8" t="s">
        <v>20</v>
      </c>
      <c r="B17" s="43" t="s">
        <v>31</v>
      </c>
      <c r="C17" s="43"/>
      <c r="D17" s="43"/>
      <c r="E17" s="43"/>
      <c r="F17" s="25">
        <f>B6</f>
        <v>9.1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16</v>
      </c>
      <c r="C20" s="15" t="s">
        <v>13</v>
      </c>
      <c r="D20" s="39" t="s">
        <v>14</v>
      </c>
      <c r="E20" s="39"/>
      <c r="F20" s="39" t="s">
        <v>15</v>
      </c>
      <c r="G20" s="40"/>
    </row>
    <row r="21" spans="1:7" x14ac:dyDescent="0.25">
      <c r="A21" s="12" t="s">
        <v>21</v>
      </c>
      <c r="B21" s="17">
        <v>4.7199999999999999E-2</v>
      </c>
      <c r="C21" s="17">
        <v>3.3199999999999999E-4</v>
      </c>
      <c r="D21" s="31">
        <v>7.6000000000000004E-5</v>
      </c>
      <c r="E21" s="31"/>
      <c r="F21" s="31">
        <v>1.3899999999999999E-2</v>
      </c>
      <c r="G21" s="32"/>
    </row>
    <row r="22" spans="1:7" x14ac:dyDescent="0.25">
      <c r="A22" s="20" t="s">
        <v>9</v>
      </c>
      <c r="B22" s="16">
        <v>8.6999999999999994E-2</v>
      </c>
      <c r="C22" s="16">
        <v>3.8700000000000002E-3</v>
      </c>
      <c r="D22" s="33">
        <v>2.2900000000000001E-4</v>
      </c>
      <c r="E22" s="33"/>
      <c r="F22" s="33">
        <v>2.7400000000000001E-2</v>
      </c>
      <c r="G22" s="34"/>
    </row>
    <row r="23" spans="1:7" ht="15.75" thickBot="1" x14ac:dyDescent="0.3">
      <c r="A23" s="8" t="s">
        <v>20</v>
      </c>
      <c r="B23" s="18">
        <v>5.8999999999999997E-2</v>
      </c>
      <c r="C23" s="18">
        <v>-3.2499999999999999E-3</v>
      </c>
      <c r="D23" s="29">
        <v>1.2300000000000001E-4</v>
      </c>
      <c r="E23" s="29"/>
      <c r="F23" s="29">
        <v>3.2000000000000001E-2</v>
      </c>
      <c r="G23" s="35"/>
    </row>
    <row r="24" spans="1:7" ht="15.75" thickBot="1" x14ac:dyDescent="0.3">
      <c r="A24" s="9" t="s">
        <v>17</v>
      </c>
      <c r="B24" s="19">
        <v>0.193</v>
      </c>
      <c r="C24" s="19">
        <v>9.5399999999999999E-4</v>
      </c>
      <c r="D24" s="30">
        <v>4.2900000000000002E-4</v>
      </c>
      <c r="E24" s="30"/>
      <c r="F24" s="30">
        <v>7.3300000000000004E-2</v>
      </c>
      <c r="G24" s="36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26" t="s">
        <v>28</v>
      </c>
      <c r="B27" s="27"/>
      <c r="C27" s="27"/>
      <c r="D27" s="27"/>
      <c r="E27" s="27"/>
      <c r="F27" s="27"/>
      <c r="G27" s="28"/>
    </row>
  </sheetData>
  <mergeCells count="17"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  <mergeCell ref="A27:G27"/>
    <mergeCell ref="D23:E23"/>
    <mergeCell ref="D24:E24"/>
    <mergeCell ref="F21:G21"/>
    <mergeCell ref="F22:G22"/>
    <mergeCell ref="F23:G23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GB_LF_01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2026-06-17T20:57:05Z</dcterms:modified>
</cp:coreProperties>
</file>