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0AB6FE5A-B23F-4567-945B-E22ABF5A5D7A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PB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<sst xmlns="http://schemas.openxmlformats.org/spreadsheetml/2006/main" count="52" uniqueCount="42">
  <si>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</si>
  <si>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</si>
  <si>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</si>
  <si>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</si>
  <si>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</si>
  <si>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</si>
  <si>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</si>
  <si>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</si>
  <si>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</si>
  <si>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</si>
  <si>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</si>
  <si>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</si>
  <si>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</si>
  <si>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</si>
  <si>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</si>
  <si>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</si>
  <si>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</si>
  <si>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</si>
  <si>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</si>
  <si>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</si>
  <si>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</si>
  <si>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</si>
  <si>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</si>
  <si>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</si>
  <si>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</si>
  <si>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</si>
  <si>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</si>
  <si>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</si>
  <si>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</si>
  <si>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</si>
  <si>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</si>
  <si>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</si>
  <si>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</si>
  <si>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Recycling (Particle Board)</t>
  </si>
  <si>
    <t>Avoided wood</t>
  </si>
  <si>
    <t>Incineration of residual</t>
  </si>
  <si>
    <t>m³</t>
  </si>
  <si>
    <t>PB_RC_01 - Life Cycle Inventory</t>
  </si>
  <si>
    <t>Particle board</t>
  </si>
  <si>
    <t>1 m³ of particle board is extracted from the building diesel-driven machinery. Assumed diesel use of 1.4 L/t material based on a report from the Danish Environmental Protection Agency (2022) [1]. The particle board is transported 100 km by truck to a facility in Denmark where it replaces virgin wood in the production of new particle boards. According to data received from Kronospan Novopan approximately 86% of received wood is recyclable for particle board. The remaining 14% is incinerated on site for energy recovery. Energy recovery of 1.8 MJ/kg particle board from Danish industry EPD for particle board [2]. Assumption of 2/3 recovered energy being heat and the remaining 1/3 being electricity.</t>
  </si>
  <si>
    <t>Sawnwood, softwood, raw, dried (u=20%) {RER}| market for sawnwood, softwood, raw, dried (u=20%) | Cut-off, S</t>
  </si>
  <si>
    <t>Mass factor determined from BR18, appendix 2, table 7 ID #G0701
Diesel density assumed to be 0.845 kg/L with an energy density of 42.7 MJ/kg.
EcoInvent process for avoided wood assumes density of 486 kg/m³, so volume has been scaled up to match the weight of the recycled wood.
[1] Miljøstyrelsen (2022): https://www2.mst.dk/Udgiv/publikationer/2022/02/978-87-7038-353-0.pdf
[2] MD-25106-EN: https://www.epddanmark.dk/media/0ejgjsju/md-25106-en.pdf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</si>
</sst>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4" fontId="0" fillId="3" borderId="11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0"/>
  <sheetViews>
    <sheetView tabSelected="1" view="pageLayout" topLeftCell="A22" zoomScaleNormal="100" workbookViewId="0">
      <selection activeCell="F28" sqref="F28:G28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37</v>
      </c>
      <c r="B1" s="2"/>
      <c r="C1" s="24" t="s">
        <v>28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700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33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6" t="s">
        <v>39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9" t="s">
        <v>19</v>
      </c>
      <c r="C14" s="39"/>
      <c r="D14" s="39"/>
      <c r="E14" s="39"/>
      <c r="F14" s="10" t="s">
        <v>8</v>
      </c>
      <c r="G14" s="11" t="s">
        <v>1</v>
      </c>
    </row>
    <row r="15" spans="1:7" ht="32.25" customHeight="1" x14ac:dyDescent="0.25">
      <c r="A15" s="12" t="s">
        <v>20</v>
      </c>
      <c r="B15" s="41" t="s">
        <v>30</v>
      </c>
      <c r="C15" s="41"/>
      <c r="D15" s="41"/>
      <c r="E15" s="41"/>
      <c r="F15" s="21">
        <f>B6*1.4/1000*0.845*42.7</f>
        <v>35.359869999999994</v>
      </c>
      <c r="G15" s="13" t="s">
        <v>25</v>
      </c>
    </row>
    <row r="16" spans="1:7" ht="45" customHeight="1" x14ac:dyDescent="0.25">
      <c r="A16" s="19" t="s">
        <v>9</v>
      </c>
      <c r="B16" s="40" t="s">
        <v>18</v>
      </c>
      <c r="C16" s="40"/>
      <c r="D16" s="40"/>
      <c r="E16" s="40"/>
      <c r="F16" s="23">
        <f>B6*100/1000</f>
        <v>70</v>
      </c>
      <c r="G16" s="20" t="s">
        <v>29</v>
      </c>
    </row>
    <row r="17" spans="1:7" ht="30.75" customHeight="1" x14ac:dyDescent="0.25">
      <c r="A17" s="27" t="s">
        <v>35</v>
      </c>
      <c r="B17" s="40" t="s">
        <v>32</v>
      </c>
      <c r="C17" s="40"/>
      <c r="D17" s="40"/>
      <c r="E17" s="40"/>
      <c r="F17" s="23">
        <f>B6*0.14</f>
        <v>98.000000000000014</v>
      </c>
      <c r="G17" s="20" t="s">
        <v>10</v>
      </c>
    </row>
    <row r="18" spans="1:7" ht="45.75" customHeight="1" x14ac:dyDescent="0.25">
      <c r="A18" s="19" t="s">
        <v>23</v>
      </c>
      <c r="B18" s="40" t="s">
        <v>24</v>
      </c>
      <c r="C18" s="40"/>
      <c r="D18" s="40"/>
      <c r="E18" s="40"/>
      <c r="F18" s="22">
        <f>-1.8*(0.666666666666667)*B6*0.14</f>
        <v>-117.60000000000008</v>
      </c>
      <c r="G18" s="20" t="s">
        <v>25</v>
      </c>
    </row>
    <row r="19" spans="1:7" ht="15.75" customHeight="1" x14ac:dyDescent="0.25">
      <c r="A19" s="25" t="s">
        <v>22</v>
      </c>
      <c r="B19" s="42" t="s">
        <v>21</v>
      </c>
      <c r="C19" s="42"/>
      <c r="D19" s="42"/>
      <c r="E19" s="42"/>
      <c r="F19" s="28">
        <f>-1.8*(0.333333333333333)*B6*0.14</f>
        <v>-58.799999999999947</v>
      </c>
      <c r="G19" s="26" t="s">
        <v>25</v>
      </c>
    </row>
    <row r="20" spans="1:7" ht="31.5" customHeight="1" thickBot="1" x14ac:dyDescent="0.3">
      <c r="A20" s="8" t="s">
        <v>34</v>
      </c>
      <c r="B20" s="43" t="s">
        <v>40</v>
      </c>
      <c r="C20" s="43"/>
      <c r="D20" s="43"/>
      <c r="E20" s="43"/>
      <c r="F20" s="29">
        <f>-B6/486*0.86</f>
        <v>-1.2386831275720165</v>
      </c>
      <c r="G20" s="14" t="s">
        <v>36</v>
      </c>
    </row>
    <row r="21" spans="1:7" ht="196.5" customHeight="1" x14ac:dyDescent="0.25">
      <c r="A21" s="4"/>
      <c r="B21" s="4"/>
      <c r="C21" s="4"/>
      <c r="D21" s="4"/>
      <c r="E21" s="4"/>
      <c r="F21" s="4"/>
      <c r="G21" s="4"/>
    </row>
    <row r="22" spans="1:7" s="1" customFormat="1" ht="15.75" thickBot="1" x14ac:dyDescent="0.3">
      <c r="A22" s="2" t="s">
        <v>37</v>
      </c>
      <c r="B22" s="2"/>
      <c r="C22" s="24" t="s">
        <v>31</v>
      </c>
      <c r="D22" s="2"/>
      <c r="E22" s="2"/>
      <c r="F22" s="2"/>
      <c r="G22" s="3">
        <v>46191</v>
      </c>
    </row>
    <row r="23" spans="1:7" x14ac:dyDescent="0.25">
      <c r="A23" s="4"/>
      <c r="B23" s="4"/>
      <c r="C23" s="4"/>
      <c r="D23" s="4"/>
      <c r="E23" s="4"/>
      <c r="F23" s="4"/>
      <c r="G23" s="4"/>
    </row>
    <row r="24" spans="1:7" ht="15.75" thickBot="1" x14ac:dyDescent="0.3">
      <c r="A24" s="5" t="s">
        <v>11</v>
      </c>
      <c r="B24" s="4"/>
      <c r="C24" s="4"/>
      <c r="D24" s="4"/>
      <c r="E24" s="4"/>
      <c r="F24" s="4"/>
      <c r="G24" s="4"/>
    </row>
    <row r="25" spans="1:7" ht="47.25" thickBot="1" x14ac:dyDescent="0.4">
      <c r="A25" s="9" t="s">
        <v>3</v>
      </c>
      <c r="B25" s="15" t="s">
        <v>16</v>
      </c>
      <c r="C25" s="15" t="s">
        <v>13</v>
      </c>
      <c r="D25" s="32" t="s">
        <v>14</v>
      </c>
      <c r="E25" s="32"/>
      <c r="F25" s="32" t="s">
        <v>15</v>
      </c>
      <c r="G25" s="33"/>
    </row>
    <row r="26" spans="1:7" x14ac:dyDescent="0.25">
      <c r="A26" s="12" t="s">
        <v>20</v>
      </c>
      <c r="B26" s="17">
        <v>3.63</v>
      </c>
      <c r="C26" s="17">
        <v>2.5499999999999998E-2</v>
      </c>
      <c r="D26" s="34">
        <v>5.8500000000000002E-3</v>
      </c>
      <c r="E26" s="34"/>
      <c r="F26" s="34">
        <v>1.07</v>
      </c>
      <c r="G26" s="48"/>
    </row>
    <row r="27" spans="1:7" x14ac:dyDescent="0.25">
      <c r="A27" s="19" t="s">
        <v>9</v>
      </c>
      <c r="B27" s="16">
        <v>13.4</v>
      </c>
      <c r="C27" s="16">
        <v>0.59499999999999997</v>
      </c>
      <c r="D27" s="35">
        <v>3.5299999999999998E-2</v>
      </c>
      <c r="E27" s="35"/>
      <c r="F27" s="35">
        <v>4.22</v>
      </c>
      <c r="G27" s="49"/>
    </row>
    <row r="28" spans="1:7" ht="30" x14ac:dyDescent="0.25">
      <c r="A28" s="27" t="s">
        <v>35</v>
      </c>
      <c r="B28" s="16">
        <v>1.55</v>
      </c>
      <c r="C28" s="16">
        <v>2.53E-2</v>
      </c>
      <c r="D28" s="35">
        <v>1.2999999999999999E-2</v>
      </c>
      <c r="E28" s="35"/>
      <c r="F28" s="35">
        <v>0.315</v>
      </c>
      <c r="G28" s="49"/>
    </row>
    <row r="29" spans="1:7" x14ac:dyDescent="0.25">
      <c r="A29" s="19" t="s">
        <v>23</v>
      </c>
      <c r="B29" s="16">
        <v>-8.61</v>
      </c>
      <c r="C29" s="16">
        <v>-0.503</v>
      </c>
      <c r="D29" s="35">
        <v>-2.7899999999999999E-3</v>
      </c>
      <c r="E29" s="35"/>
      <c r="F29" s="35">
        <v>-1.87</v>
      </c>
      <c r="G29" s="49"/>
    </row>
    <row r="30" spans="1:7" x14ac:dyDescent="0.25">
      <c r="A30" s="19" t="s">
        <v>22</v>
      </c>
      <c r="B30" s="16">
        <v>-2.91</v>
      </c>
      <c r="C30" s="16">
        <v>-0.65900000000000003</v>
      </c>
      <c r="D30" s="35">
        <v>-2.5399999999999999E-2</v>
      </c>
      <c r="E30" s="35"/>
      <c r="F30" s="35">
        <v>-0.71899999999999997</v>
      </c>
      <c r="G30" s="49"/>
    </row>
    <row r="31" spans="1:7" ht="15.75" thickBot="1" x14ac:dyDescent="0.3">
      <c r="A31" s="8" t="s">
        <v>34</v>
      </c>
      <c r="B31" s="16">
        <v>-77.7</v>
      </c>
      <c r="C31" s="16">
        <v>-787</v>
      </c>
      <c r="D31" s="35">
        <v>-0.29099999999999998</v>
      </c>
      <c r="E31" s="35"/>
      <c r="F31" s="35">
        <v>-23</v>
      </c>
      <c r="G31" s="49"/>
    </row>
    <row r="32" spans="1:7" ht="15.75" thickBot="1" x14ac:dyDescent="0.3">
      <c r="A32" s="9" t="s">
        <v>17</v>
      </c>
      <c r="B32" s="18">
        <v>-70.599999999999994</v>
      </c>
      <c r="C32" s="18">
        <v>-788</v>
      </c>
      <c r="D32" s="47">
        <v>-0.26500000000000001</v>
      </c>
      <c r="E32" s="47"/>
      <c r="F32" s="47">
        <v>-20</v>
      </c>
      <c r="G32" s="50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ht="15.75" thickBot="1" x14ac:dyDescent="0.3">
      <c r="A34" s="5" t="s">
        <v>12</v>
      </c>
      <c r="B34" s="4"/>
      <c r="C34" s="4"/>
      <c r="D34" s="4"/>
      <c r="E34" s="4"/>
      <c r="F34" s="4"/>
      <c r="G34" s="4"/>
    </row>
    <row r="35" spans="1:7" ht="96" customHeight="1" thickBot="1" x14ac:dyDescent="0.3">
      <c r="A35" s="44" t="s">
        <v>41</v>
      </c>
      <c r="B35" s="45"/>
      <c r="C35" s="45"/>
      <c r="D35" s="45"/>
      <c r="E35" s="45"/>
      <c r="F35" s="45"/>
      <c r="G35" s="46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</sheetData>
  <mergeCells count="26">
    <mergeCell ref="A35:G35"/>
    <mergeCell ref="D30:E30"/>
    <mergeCell ref="D32:E32"/>
    <mergeCell ref="F26:G26"/>
    <mergeCell ref="F27:G27"/>
    <mergeCell ref="F30:G30"/>
    <mergeCell ref="F32:G32"/>
    <mergeCell ref="D28:E28"/>
    <mergeCell ref="F28:G28"/>
    <mergeCell ref="D29:E29"/>
    <mergeCell ref="F29:G29"/>
    <mergeCell ref="D31:E31"/>
    <mergeCell ref="F31:G31"/>
    <mergeCell ref="B8:C8"/>
    <mergeCell ref="D25:E25"/>
    <mergeCell ref="F25:G25"/>
    <mergeCell ref="D26:E26"/>
    <mergeCell ref="D27:E27"/>
    <mergeCell ref="A11:G11"/>
    <mergeCell ref="B14:E14"/>
    <mergeCell ref="B16:E16"/>
    <mergeCell ref="B17:E17"/>
    <mergeCell ref="B15:E15"/>
    <mergeCell ref="B19:E19"/>
    <mergeCell ref="B18:E18"/>
    <mergeCell ref="B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PB_RC_01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2026-06-20T13:37:54Z</dcterms:modified>
</cp:coreProperties>
</file>