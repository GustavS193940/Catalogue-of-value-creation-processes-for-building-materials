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45C1CA7-B324-43AA-9582-4943E2B3ABD2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SH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 l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<sst xmlns="http://schemas.openxmlformats.org/spreadsheetml/2006/main" count="38" uniqueCount="33">
  <si>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</si>
  <si>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</si>
  <si>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</si>
  <si>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</si>
  <si>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</si>
  <si>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</si>
  <si>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</si>
  <si>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</si>
  <si>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</si>
  <si>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</si>
  <si>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</si>
  <si>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</si>
  <si>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</si>
  <si>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</si>
  <si>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</si>
  <si>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</si>
  <si>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</si>
  <si>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</si>
  <si>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</si>
  <si>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</si>
  <si>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</si>
  <si>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</si>
  <si>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</si>
  <si>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Page 1 of 1</t>
  </si>
  <si>
    <t>Waste steel {Europe without Switzerland}| treatment of waste steel, inert material landfill | Cut-off, S</t>
  </si>
  <si>
    <t>kgkm</t>
  </si>
  <si>
    <t>kJ</t>
  </si>
  <si>
    <t>SSH_LF_01 - Life Cycle Inventory</t>
  </si>
  <si>
    <t>Steel Sheets</t>
  </si>
  <si>
    <t>1 m²</t>
  </si>
  <si>
    <t>kg/m²</t>
  </si>
  <si>
    <t>1 m² steel sheet is extracted from the building using diesel-driven machinery. Assumed diesel use of 1.4 L/t material based on a report from the Danish Environmental Protection Agency [1]. The steel sheet is transported 50 km by truck to a municipal landfill site.</t>
  </si>
  <si>
    <t>Mass factor determined from BR18, appendix 2, table 7 ID #G0768.
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</si>
</sst>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1" fontId="0" fillId="3" borderId="9" xfId="0" applyNumberFormat="1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15" zoomScaleNormal="100" workbookViewId="0">
      <selection activeCell="A27" sqref="A27:G27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2" t="s">
        <v>23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29</v>
      </c>
      <c r="C5" s="4"/>
      <c r="D5" s="4"/>
      <c r="E5" s="4"/>
      <c r="F5" s="4"/>
      <c r="G5" s="4"/>
    </row>
    <row r="6" spans="1:7" x14ac:dyDescent="0.25">
      <c r="A6" s="5" t="s">
        <v>2</v>
      </c>
      <c r="B6" s="43">
        <v>5.72</v>
      </c>
      <c r="C6" s="4" t="s">
        <v>30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4" t="s">
        <v>20</v>
      </c>
      <c r="C8" s="25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0" t="s">
        <v>31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3" t="s">
        <v>19</v>
      </c>
      <c r="C14" s="33"/>
      <c r="D14" s="33"/>
      <c r="E14" s="33"/>
      <c r="F14" s="10" t="s">
        <v>8</v>
      </c>
      <c r="G14" s="11" t="s">
        <v>1</v>
      </c>
    </row>
    <row r="15" spans="1:7" ht="32.25" customHeight="1" x14ac:dyDescent="0.25">
      <c r="A15" s="12" t="s">
        <v>21</v>
      </c>
      <c r="B15" s="36" t="s">
        <v>22</v>
      </c>
      <c r="C15" s="36"/>
      <c r="D15" s="36"/>
      <c r="E15" s="36"/>
      <c r="F15" s="44">
        <f>B6*1.4/1000*0.845*42.7*1000</f>
        <v>288.94065199999994</v>
      </c>
      <c r="G15" s="13" t="s">
        <v>26</v>
      </c>
    </row>
    <row r="16" spans="1:7" ht="45" customHeight="1" x14ac:dyDescent="0.25">
      <c r="A16" s="20" t="s">
        <v>9</v>
      </c>
      <c r="B16" s="34" t="s">
        <v>18</v>
      </c>
      <c r="C16" s="34"/>
      <c r="D16" s="34"/>
      <c r="E16" s="34"/>
      <c r="F16" s="45">
        <f>B6*50</f>
        <v>286</v>
      </c>
      <c r="G16" s="21" t="s">
        <v>25</v>
      </c>
    </row>
    <row r="17" spans="1:7" ht="32.25" customHeight="1" thickBot="1" x14ac:dyDescent="0.3">
      <c r="A17" s="8" t="s">
        <v>20</v>
      </c>
      <c r="B17" s="35" t="s">
        <v>24</v>
      </c>
      <c r="C17" s="35"/>
      <c r="D17" s="35"/>
      <c r="E17" s="35"/>
      <c r="F17" s="23">
        <f>B6</f>
        <v>5.72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16</v>
      </c>
      <c r="C20" s="15" t="s">
        <v>13</v>
      </c>
      <c r="D20" s="26" t="s">
        <v>14</v>
      </c>
      <c r="E20" s="26"/>
      <c r="F20" s="26" t="s">
        <v>15</v>
      </c>
      <c r="G20" s="27"/>
    </row>
    <row r="21" spans="1:7" x14ac:dyDescent="0.25">
      <c r="A21" s="12" t="s">
        <v>21</v>
      </c>
      <c r="B21" s="17">
        <v>2.9600000000000001E-2</v>
      </c>
      <c r="C21" s="17">
        <v>2.0799999999999999E-4</v>
      </c>
      <c r="D21" s="28">
        <v>4.7800000000000003E-5</v>
      </c>
      <c r="E21" s="28"/>
      <c r="F21" s="28">
        <v>8.6999999999999994E-3</v>
      </c>
      <c r="G21" s="39"/>
    </row>
    <row r="22" spans="1:7" x14ac:dyDescent="0.25">
      <c r="A22" s="20" t="s">
        <v>9</v>
      </c>
      <c r="B22" s="16">
        <v>5.4699999999999999E-2</v>
      </c>
      <c r="C22" s="16">
        <v>2.4299999999999999E-3</v>
      </c>
      <c r="D22" s="29">
        <v>1.44E-4</v>
      </c>
      <c r="E22" s="29"/>
      <c r="F22" s="29">
        <v>1.72E-2</v>
      </c>
      <c r="G22" s="40"/>
    </row>
    <row r="23" spans="1:7" ht="15.75" thickBot="1" x14ac:dyDescent="0.3">
      <c r="A23" s="8" t="s">
        <v>20</v>
      </c>
      <c r="B23" s="18">
        <v>3.7100000000000001E-2</v>
      </c>
      <c r="C23" s="18">
        <v>-2.0400000000000001E-3</v>
      </c>
      <c r="D23" s="37">
        <v>7.7399999999999998E-5</v>
      </c>
      <c r="E23" s="37"/>
      <c r="F23" s="37">
        <v>2.01E-2</v>
      </c>
      <c r="G23" s="41"/>
    </row>
    <row r="24" spans="1:7" ht="15.75" thickBot="1" x14ac:dyDescent="0.3">
      <c r="A24" s="9" t="s">
        <v>17</v>
      </c>
      <c r="B24" s="19">
        <v>0.121</v>
      </c>
      <c r="C24" s="19">
        <v>5.9900000000000003E-4</v>
      </c>
      <c r="D24" s="38">
        <v>2.6899999999999998E-4</v>
      </c>
      <c r="E24" s="38"/>
      <c r="F24" s="38">
        <v>4.6100000000000002E-2</v>
      </c>
      <c r="G24" s="42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0" t="s">
        <v>32</v>
      </c>
      <c r="B27" s="31"/>
      <c r="C27" s="31"/>
      <c r="D27" s="31"/>
      <c r="E27" s="31"/>
      <c r="F27" s="31"/>
      <c r="G27" s="32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SSH_LF_01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2026-06-18T15:58:14Z</dcterms:modified>
</cp:coreProperties>
</file>