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C6FBAB13-A4E6-4A5D-95E3-F7A80C368536}" xr6:coauthVersionLast="47" xr6:coauthVersionMax="47" xr10:uidLastSave="{00000000-0000-0000-0000-000000000000}"/>
  <bookViews>
    <workbookView xWindow="28680" yWindow="-120" windowWidth="29040" windowHeight="15840" xr2:uid="{DB1217F5-3EDD-4456-A020-305ADC7C8E64}"/>
  </bookViews>
  <sheets>
    <sheet name="WAW_RC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8" i="1" l="1"/>
  <c r="F27" i="1"/>
  <c r="F26" i="1"/>
  <c r="F25" i="1"/>
  <c r="F24" i="1"/>
  <c r="F23" i="1"/>
  <c r="F22" i="1"/>
  <c r="F19" i="1"/>
  <c r="F21" i="1"/>
  <c r="F20" i="1"/>
  <c r="F18" i="1"/>
  <c r="F17" i="1" l="1"/>
</calcChain>
</file>

<file path=xl/sharedStrings.xml><?xml version="1.0" encoding="utf-8"?>
<sst xmlns="http://schemas.openxmlformats.org/spreadsheetml/2006/main" count="78" uniqueCount="53">
  <si>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</si>
  <si>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</si>
  <si>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</si>
  <si>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</si>
  <si>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</si>
  <si>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</si>
  <si>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</si>
  <si>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</si>
  <si>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</si>
  <si>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</si>
  <si>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</si>
  <si>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</si>
  <si>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</si>
  <si>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</si>
  <si>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t>Mineral Ressource Scarcity 
[kg CU eq]</t>
  </si>
  <si>
    <t>Fossil Ressource Scarcity 
[kg oil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</si>
  <si>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</si>
  <si>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</si>
  <si>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</si>
  <si>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</si>
  <si>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MJ</t>
  </si>
  <si>
    <t>1 m²</t>
  </si>
  <si>
    <t>kg/m²</t>
  </si>
  <si>
    <t>tkm</t>
  </si>
  <si>
    <t>Inert waste, for final disposal {RoW}| treatment of inert waste, inert material landfill | Cut-off, S</t>
  </si>
  <si>
    <t>Crushing</t>
  </si>
  <si>
    <t>Rock crushing {RER}| rock crushing | Cut-off, S</t>
  </si>
  <si>
    <t>Transportation of wood</t>
  </si>
  <si>
    <t>kgkm</t>
  </si>
  <si>
    <t>Incineration</t>
  </si>
  <si>
    <t>Waste wood, untreated {GLO}| treatment of waste wood, untreated, municipal incineration | Cut-off, S</t>
  </si>
  <si>
    <t>Transportation of residual</t>
  </si>
  <si>
    <t>Landfill of residual</t>
  </si>
  <si>
    <t>Recovered heat</t>
  </si>
  <si>
    <t>Heat, district or industrial, other than natural gas {Europe without Switzerland}| market for heat, district or industrial, other than natural gas | Cut-off, S</t>
  </si>
  <si>
    <t>Recovered electricity</t>
  </si>
  <si>
    <t>Electricity, low voltage {DK}| market for | Cut-off, S</t>
  </si>
  <si>
    <t>Avoided sand</t>
  </si>
  <si>
    <t>Silica sand {GLO}| market for silica sand | Cut-off, S</t>
  </si>
  <si>
    <t>Recycling (New Windows)</t>
  </si>
  <si>
    <t>WAW_RC_01 - Life Cycle Inventory</t>
  </si>
  <si>
    <t>Mass factor determined from Danish industry EPD for wood/aluminium frame windows MD-22040-DA [2]
[1] MD-25104-EN: https://www.epddanmark.dk/media/y1wfvthh/md-25104-en.pdf
[2] MD-22040-DA: https://www.epddanmark.dk/media/m2bfi4ei/md-22040-da.pdf</t>
  </si>
  <si>
    <t>Wood/Aluminium Window</t>
  </si>
  <si>
    <t>1 m² wood/aluminium frame window is extracted from the building by hand. The window is transported 100 km by truck to a facility in Denmark where the glass (which makes up approximately 64% of the window mass) is crushed, with 95% replacing sand in the production of new window glass and 5% replacing sand in the production of other glass products. Approximately 21% of the material is wood, which is transported another 50 km to a municipal incineration plant where it is incinerated for energy recovery. Heat recovery of 2.93 MJ/kg wood and electricity recovery of 1.46 MJ/kg wood from Danish industry EPD for construction wood [1]. Approximately 6% of the material is aluminium, which is transported another 1000 km to a facility in europe where it is melted replacing virgin aluminium. The remaining 9% is also transported 50 km by truck to a municipal landfill site.</t>
  </si>
  <si>
    <t>Transport, freight, lorry, &gt;32 metric ton, diesel, EURO 6 {RER}| market for transport, freight, lorry, &gt;32 metric ton, diesel, EURO 6 | Cut-off, S</t>
  </si>
  <si>
    <t>Melting</t>
  </si>
  <si>
    <t>Energy and auxilliary inputs, metal working machine {RER}| energy and auxilliary, metal working machine, with process heat from natural gas | Cut-off, S</t>
  </si>
  <si>
    <t>Transportation of aluminium</t>
  </si>
  <si>
    <t>Avoided aluminium</t>
  </si>
  <si>
    <t>Page 2 of 3</t>
  </si>
  <si>
    <t>Page 1 of 3</t>
  </si>
  <si>
    <t>Page 3 of 3</t>
  </si>
  <si>
    <t>Aluminium, cast alloy {GLO}| market for aluminium, cast alloy |Cut-off,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</si>
</sst>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vertical="center"/>
    </xf>
    <xf numFmtId="0" fontId="1" fillId="3" borderId="2" xfId="0" applyFont="1" applyFill="1" applyBorder="1"/>
    <xf numFmtId="0" fontId="1" fillId="3" borderId="4" xfId="0" applyFont="1" applyFill="1" applyBorder="1"/>
    <xf numFmtId="0" fontId="1" fillId="3" borderId="3" xfId="0" applyFont="1" applyFill="1" applyBorder="1"/>
    <xf numFmtId="0" fontId="0" fillId="3" borderId="6" xfId="0" applyFill="1" applyBorder="1" applyAlignment="1">
      <alignment vertical="center"/>
    </xf>
    <xf numFmtId="0" fontId="1" fillId="3" borderId="4" xfId="0" applyFont="1" applyFill="1" applyBorder="1" applyAlignment="1">
      <alignment wrapText="1"/>
    </xf>
    <xf numFmtId="11" fontId="0" fillId="3" borderId="9" xfId="0" applyNumberFormat="1" applyFill="1" applyBorder="1" applyAlignment="1">
      <alignment horizontal="center"/>
    </xf>
    <xf numFmtId="11" fontId="0" fillId="3" borderId="7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13" xfId="0" applyFill="1" applyBorder="1" applyAlignment="1">
      <alignment vertical="center"/>
    </xf>
    <xf numFmtId="0" fontId="0" fillId="3" borderId="15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164" fontId="0" fillId="3" borderId="0" xfId="0" applyNumberFormat="1" applyFill="1" applyAlignment="1">
      <alignment horizontal="center"/>
    </xf>
    <xf numFmtId="2" fontId="0" fillId="3" borderId="14" xfId="0" applyNumberFormat="1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164" fontId="0" fillId="3" borderId="9" xfId="0" applyNumberFormat="1" applyFill="1" applyBorder="1" applyAlignment="1">
      <alignment vertical="center"/>
    </xf>
    <xf numFmtId="0" fontId="0" fillId="3" borderId="13" xfId="0" applyFill="1" applyBorder="1" applyAlignment="1">
      <alignment vertical="center" wrapText="1"/>
    </xf>
    <xf numFmtId="164" fontId="0" fillId="3" borderId="14" xfId="0" applyNumberFormat="1" applyFill="1" applyBorder="1" applyAlignment="1">
      <alignment vertical="center"/>
    </xf>
    <xf numFmtId="1" fontId="0" fillId="3" borderId="14" xfId="0" applyNumberFormat="1" applyFill="1" applyBorder="1" applyAlignment="1">
      <alignment vertical="center"/>
    </xf>
    <xf numFmtId="2" fontId="0" fillId="3" borderId="9" xfId="0" applyNumberFormat="1" applyFill="1" applyBorder="1" applyAlignment="1">
      <alignment vertical="center"/>
    </xf>
    <xf numFmtId="0" fontId="0" fillId="3" borderId="2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11" fontId="0" fillId="3" borderId="11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11" fontId="0" fillId="3" borderId="7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2" xfId="0" applyNumberFormat="1" applyFill="1" applyBorder="1" applyAlignment="1">
      <alignment horizontal="center"/>
    </xf>
    <xf numFmtId="11" fontId="0" fillId="3" borderId="3" xfId="0" applyNumberFormat="1" applyFill="1" applyBorder="1" applyAlignment="1">
      <alignment horizontal="center"/>
    </xf>
    <xf numFmtId="0" fontId="1" fillId="3" borderId="4" xfId="0" applyFont="1" applyFill="1" applyBorder="1"/>
    <xf numFmtId="0" fontId="0" fillId="3" borderId="14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2" xfId="0" applyFill="1" applyBorder="1"/>
    <xf numFmtId="0" fontId="0" fillId="3" borderId="3" xfId="0" applyFill="1" applyBorder="1"/>
    <xf numFmtId="0" fontId="1" fillId="3" borderId="4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69"/>
  <sheetViews>
    <sheetView tabSelected="1" view="pageLayout" topLeftCell="A15" zoomScaleNormal="100" workbookViewId="0">
      <selection activeCell="A27" sqref="A27:XFD27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40</v>
      </c>
      <c r="B1" s="2"/>
      <c r="C1" s="19" t="s">
        <v>50</v>
      </c>
      <c r="D1" s="2"/>
      <c r="E1" s="2"/>
      <c r="F1" s="2"/>
      <c r="G1" s="3">
        <v>46194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45" t="s">
        <v>42</v>
      </c>
      <c r="C3" s="46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21</v>
      </c>
      <c r="C5" s="4"/>
      <c r="D5" s="4"/>
      <c r="E5" s="4"/>
      <c r="F5" s="4"/>
      <c r="G5" s="4"/>
    </row>
    <row r="6" spans="1:7" x14ac:dyDescent="0.25">
      <c r="A6" s="5" t="s">
        <v>2</v>
      </c>
      <c r="B6" s="20">
        <v>36.4</v>
      </c>
      <c r="C6" s="4" t="s">
        <v>22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45" t="s">
        <v>39</v>
      </c>
      <c r="C8" s="46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52.25" customHeight="1" thickBot="1" x14ac:dyDescent="0.3">
      <c r="A11" s="30" t="s">
        <v>43</v>
      </c>
      <c r="B11" s="31"/>
      <c r="C11" s="31"/>
      <c r="D11" s="31"/>
      <c r="E11" s="31"/>
      <c r="F11" s="31"/>
      <c r="G11" s="32"/>
    </row>
    <row r="12" spans="1:7" ht="409.5" customHeight="1" x14ac:dyDescent="0.25">
      <c r="A12" s="4"/>
      <c r="B12" s="4"/>
      <c r="C12" s="4"/>
      <c r="D12" s="4"/>
      <c r="E12" s="4"/>
      <c r="F12" s="4"/>
      <c r="G12" s="4"/>
    </row>
    <row r="13" spans="1:7" s="1" customFormat="1" ht="15.75" thickBot="1" x14ac:dyDescent="0.3">
      <c r="A13" s="2" t="s">
        <v>40</v>
      </c>
      <c r="B13" s="2"/>
      <c r="C13" s="19" t="s">
        <v>49</v>
      </c>
      <c r="D13" s="2"/>
      <c r="E13" s="2"/>
      <c r="F13" s="2"/>
      <c r="G13" s="3">
        <v>46194</v>
      </c>
    </row>
    <row r="14" spans="1:7" x14ac:dyDescent="0.25">
      <c r="A14" s="4"/>
      <c r="B14" s="4"/>
      <c r="C14" s="4"/>
      <c r="D14" s="4"/>
      <c r="E14" s="4"/>
      <c r="F14" s="4"/>
      <c r="G14" s="4"/>
    </row>
    <row r="15" spans="1:7" ht="15.75" thickBot="1" x14ac:dyDescent="0.3">
      <c r="A15" s="5" t="s">
        <v>5</v>
      </c>
      <c r="B15" s="4"/>
      <c r="C15" s="4"/>
      <c r="D15" s="4"/>
      <c r="E15" s="4"/>
      <c r="F15" s="4"/>
      <c r="G15" s="4"/>
    </row>
    <row r="16" spans="1:7" ht="15.75" thickBot="1" x14ac:dyDescent="0.3">
      <c r="A16" s="8" t="s">
        <v>3</v>
      </c>
      <c r="B16" s="41" t="s">
        <v>19</v>
      </c>
      <c r="C16" s="41"/>
      <c r="D16" s="41"/>
      <c r="E16" s="41"/>
      <c r="F16" s="9" t="s">
        <v>8</v>
      </c>
      <c r="G16" s="10" t="s">
        <v>1</v>
      </c>
    </row>
    <row r="17" spans="1:7" ht="45" customHeight="1" x14ac:dyDescent="0.25">
      <c r="A17" s="17" t="s">
        <v>9</v>
      </c>
      <c r="B17" s="42" t="s">
        <v>18</v>
      </c>
      <c r="C17" s="42"/>
      <c r="D17" s="42"/>
      <c r="E17" s="42"/>
      <c r="F17" s="21">
        <f>B6*100/1000</f>
        <v>3.64</v>
      </c>
      <c r="G17" s="18" t="s">
        <v>23</v>
      </c>
    </row>
    <row r="18" spans="1:7" x14ac:dyDescent="0.25">
      <c r="A18" s="23" t="s">
        <v>25</v>
      </c>
      <c r="B18" s="43" t="s">
        <v>26</v>
      </c>
      <c r="C18" s="43"/>
      <c r="D18" s="43"/>
      <c r="E18" s="43"/>
      <c r="F18" s="25">
        <f>B6*0.64</f>
        <v>23.295999999999999</v>
      </c>
      <c r="G18" s="24" t="s">
        <v>10</v>
      </c>
    </row>
    <row r="19" spans="1:7" ht="45" customHeight="1" x14ac:dyDescent="0.25">
      <c r="A19" s="26" t="s">
        <v>27</v>
      </c>
      <c r="B19" s="42" t="s">
        <v>18</v>
      </c>
      <c r="C19" s="42"/>
      <c r="D19" s="42"/>
      <c r="E19" s="42"/>
      <c r="F19" s="28">
        <f>B6*0.21*50</f>
        <v>382.2</v>
      </c>
      <c r="G19" s="18" t="s">
        <v>28</v>
      </c>
    </row>
    <row r="20" spans="1:7" ht="30.75" customHeight="1" x14ac:dyDescent="0.25">
      <c r="A20" s="17" t="s">
        <v>29</v>
      </c>
      <c r="B20" s="42" t="s">
        <v>30</v>
      </c>
      <c r="C20" s="42"/>
      <c r="D20" s="42"/>
      <c r="E20" s="42"/>
      <c r="F20" s="21">
        <f>B6*0.21</f>
        <v>7.6439999999999992</v>
      </c>
      <c r="G20" s="18" t="s">
        <v>10</v>
      </c>
    </row>
    <row r="21" spans="1:7" ht="45" customHeight="1" x14ac:dyDescent="0.25">
      <c r="A21" s="26" t="s">
        <v>47</v>
      </c>
      <c r="B21" s="42" t="s">
        <v>44</v>
      </c>
      <c r="C21" s="42"/>
      <c r="D21" s="42"/>
      <c r="E21" s="42"/>
      <c r="F21" s="21">
        <f>B6*0.06*1000/1000</f>
        <v>2.1839999999999997</v>
      </c>
      <c r="G21" s="18" t="s">
        <v>23</v>
      </c>
    </row>
    <row r="22" spans="1:7" ht="46.5" customHeight="1" x14ac:dyDescent="0.25">
      <c r="A22" s="23" t="s">
        <v>45</v>
      </c>
      <c r="B22" s="43" t="s">
        <v>46</v>
      </c>
      <c r="C22" s="43"/>
      <c r="D22" s="43"/>
      <c r="E22" s="43"/>
      <c r="F22" s="29">
        <f>B6*0.06</f>
        <v>2.1839999999999997</v>
      </c>
      <c r="G22" s="24" t="s">
        <v>10</v>
      </c>
    </row>
    <row r="23" spans="1:7" ht="45" customHeight="1" x14ac:dyDescent="0.25">
      <c r="A23" s="26" t="s">
        <v>31</v>
      </c>
      <c r="B23" s="42" t="s">
        <v>18</v>
      </c>
      <c r="C23" s="42"/>
      <c r="D23" s="42"/>
      <c r="E23" s="42"/>
      <c r="F23" s="28">
        <f>B6*0.09*50</f>
        <v>163.79999999999998</v>
      </c>
      <c r="G23" s="18" t="s">
        <v>28</v>
      </c>
    </row>
    <row r="24" spans="1:7" ht="32.25" customHeight="1" x14ac:dyDescent="0.25">
      <c r="A24" s="23" t="s">
        <v>32</v>
      </c>
      <c r="B24" s="43" t="s">
        <v>24</v>
      </c>
      <c r="C24" s="43"/>
      <c r="D24" s="43"/>
      <c r="E24" s="43"/>
      <c r="F24" s="29">
        <f>B6*0.09</f>
        <v>3.2759999999999998</v>
      </c>
      <c r="G24" s="24" t="s">
        <v>10</v>
      </c>
    </row>
    <row r="25" spans="1:7" ht="45.75" customHeight="1" x14ac:dyDescent="0.25">
      <c r="A25" s="17" t="s">
        <v>33</v>
      </c>
      <c r="B25" s="42" t="s">
        <v>34</v>
      </c>
      <c r="C25" s="42"/>
      <c r="D25" s="42"/>
      <c r="E25" s="42"/>
      <c r="F25" s="27">
        <f>-B6*0.21*2.93</f>
        <v>-22.396919999999998</v>
      </c>
      <c r="G25" s="18" t="s">
        <v>20</v>
      </c>
    </row>
    <row r="26" spans="1:7" ht="15.75" customHeight="1" x14ac:dyDescent="0.25">
      <c r="A26" s="23" t="s">
        <v>35</v>
      </c>
      <c r="B26" s="43" t="s">
        <v>36</v>
      </c>
      <c r="C26" s="43"/>
      <c r="D26" s="43"/>
      <c r="E26" s="43"/>
      <c r="F26" s="25">
        <f>-B6*0.21*1.46</f>
        <v>-11.160239999999998</v>
      </c>
      <c r="G26" s="24" t="s">
        <v>20</v>
      </c>
    </row>
    <row r="27" spans="1:7" ht="28.5" customHeight="1" x14ac:dyDescent="0.25">
      <c r="A27" s="23" t="s">
        <v>48</v>
      </c>
      <c r="B27" s="43" t="s">
        <v>52</v>
      </c>
      <c r="C27" s="43"/>
      <c r="D27" s="43"/>
      <c r="E27" s="43"/>
      <c r="F27" s="29">
        <f>-B6*0.09</f>
        <v>-3.2759999999999998</v>
      </c>
      <c r="G27" s="24" t="s">
        <v>10</v>
      </c>
    </row>
    <row r="28" spans="1:7" ht="15.75" customHeight="1" thickBot="1" x14ac:dyDescent="0.3">
      <c r="A28" s="7" t="s">
        <v>37</v>
      </c>
      <c r="B28" s="44" t="s">
        <v>38</v>
      </c>
      <c r="C28" s="44"/>
      <c r="D28" s="44"/>
      <c r="E28" s="44"/>
      <c r="F28" s="22">
        <f>-B6*0.64</f>
        <v>-23.295999999999999</v>
      </c>
      <c r="G28" s="11" t="s">
        <v>10</v>
      </c>
    </row>
    <row r="29" spans="1:7" ht="235.5" customHeight="1" x14ac:dyDescent="0.25">
      <c r="A29" s="4"/>
      <c r="B29" s="4"/>
      <c r="C29" s="4"/>
      <c r="D29" s="4"/>
      <c r="E29" s="4"/>
      <c r="F29" s="4"/>
      <c r="G29" s="4"/>
    </row>
    <row r="30" spans="1:7" s="1" customFormat="1" ht="15.75" thickBot="1" x14ac:dyDescent="0.3">
      <c r="A30" s="2" t="s">
        <v>40</v>
      </c>
      <c r="B30" s="2"/>
      <c r="C30" s="19" t="s">
        <v>51</v>
      </c>
      <c r="D30" s="2"/>
      <c r="E30" s="2"/>
      <c r="F30" s="2"/>
      <c r="G30" s="3">
        <v>46194</v>
      </c>
    </row>
    <row r="31" spans="1:7" x14ac:dyDescent="0.25">
      <c r="A31" s="4"/>
      <c r="B31" s="4"/>
      <c r="C31" s="4"/>
      <c r="D31" s="4"/>
      <c r="E31" s="4"/>
      <c r="F31" s="4"/>
      <c r="G31" s="4"/>
    </row>
    <row r="32" spans="1:7" ht="15.75" thickBot="1" x14ac:dyDescent="0.3">
      <c r="A32" s="5" t="s">
        <v>11</v>
      </c>
      <c r="B32" s="4"/>
      <c r="C32" s="4"/>
      <c r="D32" s="4"/>
      <c r="E32" s="4"/>
      <c r="F32" s="4"/>
      <c r="G32" s="4"/>
    </row>
    <row r="33" spans="1:7" ht="47.25" thickBot="1" x14ac:dyDescent="0.4">
      <c r="A33" s="8" t="s">
        <v>3</v>
      </c>
      <c r="B33" s="12" t="s">
        <v>16</v>
      </c>
      <c r="C33" s="12" t="s">
        <v>13</v>
      </c>
      <c r="D33" s="47" t="s">
        <v>14</v>
      </c>
      <c r="E33" s="47"/>
      <c r="F33" s="47" t="s">
        <v>15</v>
      </c>
      <c r="G33" s="48"/>
    </row>
    <row r="34" spans="1:7" x14ac:dyDescent="0.25">
      <c r="A34" s="17" t="s">
        <v>9</v>
      </c>
      <c r="B34" s="14">
        <v>0.69599999999999995</v>
      </c>
      <c r="C34" s="14">
        <v>3.1E-2</v>
      </c>
      <c r="D34" s="35">
        <v>1.8400000000000001E-3</v>
      </c>
      <c r="E34" s="35"/>
      <c r="F34" s="35">
        <v>0.219</v>
      </c>
      <c r="G34" s="36"/>
    </row>
    <row r="35" spans="1:7" x14ac:dyDescent="0.25">
      <c r="A35" s="17" t="s">
        <v>25</v>
      </c>
      <c r="B35" s="13">
        <v>6.2599999999999999E-3</v>
      </c>
      <c r="C35" s="13">
        <v>1.8900000000000001E-4</v>
      </c>
      <c r="D35" s="37">
        <v>1.9899999999999999E-5</v>
      </c>
      <c r="E35" s="37"/>
      <c r="F35" s="37">
        <v>1.72E-3</v>
      </c>
      <c r="G35" s="38"/>
    </row>
    <row r="36" spans="1:7" ht="30" x14ac:dyDescent="0.25">
      <c r="A36" s="26" t="s">
        <v>27</v>
      </c>
      <c r="B36" s="13">
        <v>7.2999999999999995E-2</v>
      </c>
      <c r="C36" s="13">
        <v>3.2499999999999999E-3</v>
      </c>
      <c r="D36" s="37">
        <v>1.93E-4</v>
      </c>
      <c r="E36" s="37"/>
      <c r="F36" s="37">
        <v>2.3E-2</v>
      </c>
      <c r="G36" s="38"/>
    </row>
    <row r="37" spans="1:7" x14ac:dyDescent="0.25">
      <c r="A37" s="17" t="s">
        <v>29</v>
      </c>
      <c r="B37" s="13">
        <v>0.121</v>
      </c>
      <c r="C37" s="13">
        <v>1.97E-3</v>
      </c>
      <c r="D37" s="37">
        <v>1.0200000000000001E-3</v>
      </c>
      <c r="E37" s="37"/>
      <c r="F37" s="37">
        <v>2.4500000000000001E-2</v>
      </c>
      <c r="G37" s="38"/>
    </row>
    <row r="38" spans="1:7" ht="30" x14ac:dyDescent="0.25">
      <c r="A38" s="26" t="s">
        <v>47</v>
      </c>
      <c r="B38" s="13">
        <v>0.22700000000000001</v>
      </c>
      <c r="C38" s="13">
        <v>1.7399999999999999E-2</v>
      </c>
      <c r="D38" s="37">
        <v>5.7300000000000005E-4</v>
      </c>
      <c r="E38" s="37"/>
      <c r="F38" s="37">
        <v>7.6600000000000001E-2</v>
      </c>
      <c r="G38" s="38"/>
    </row>
    <row r="39" spans="1:7" x14ac:dyDescent="0.25">
      <c r="A39" s="23" t="s">
        <v>45</v>
      </c>
      <c r="B39" s="13">
        <v>1.65</v>
      </c>
      <c r="C39" s="13">
        <v>3.5099999999999999E-2</v>
      </c>
      <c r="D39" s="37">
        <v>4.3299999999999996E-3</v>
      </c>
      <c r="E39" s="37"/>
      <c r="F39" s="37">
        <v>0.53800000000000003</v>
      </c>
      <c r="G39" s="38"/>
    </row>
    <row r="40" spans="1:7" ht="30" x14ac:dyDescent="0.25">
      <c r="A40" s="26" t="s">
        <v>31</v>
      </c>
      <c r="B40" s="13">
        <v>3.1399999999999997E-2</v>
      </c>
      <c r="C40" s="13">
        <v>1.39E-3</v>
      </c>
      <c r="D40" s="37">
        <v>8.2700000000000004E-5</v>
      </c>
      <c r="E40" s="37"/>
      <c r="F40" s="37">
        <v>9.8799999999999999E-3</v>
      </c>
      <c r="G40" s="38"/>
    </row>
    <row r="41" spans="1:7" x14ac:dyDescent="0.25">
      <c r="A41" s="23" t="s">
        <v>32</v>
      </c>
      <c r="B41" s="13">
        <v>2.1299999999999999E-2</v>
      </c>
      <c r="C41" s="13">
        <v>-1.17E-3</v>
      </c>
      <c r="D41" s="37">
        <v>4.4400000000000002E-5</v>
      </c>
      <c r="E41" s="37"/>
      <c r="F41" s="37">
        <v>1.1599999999999999E-2</v>
      </c>
      <c r="G41" s="38"/>
    </row>
    <row r="42" spans="1:7" x14ac:dyDescent="0.25">
      <c r="A42" s="17" t="s">
        <v>33</v>
      </c>
      <c r="B42" s="13">
        <v>-1.63</v>
      </c>
      <c r="C42" s="13">
        <v>-9.5200000000000007E-2</v>
      </c>
      <c r="D42" s="37">
        <v>-5.2800000000000004E-4</v>
      </c>
      <c r="E42" s="37"/>
      <c r="F42" s="37">
        <v>-0.35399999999999998</v>
      </c>
      <c r="G42" s="38"/>
    </row>
    <row r="43" spans="1:7" x14ac:dyDescent="0.25">
      <c r="A43" s="23" t="s">
        <v>35</v>
      </c>
      <c r="B43" s="13">
        <v>-0.55500000000000005</v>
      </c>
      <c r="C43" s="13">
        <v>-0.126</v>
      </c>
      <c r="D43" s="37">
        <v>-4.8300000000000001E-3</v>
      </c>
      <c r="E43" s="37"/>
      <c r="F43" s="37">
        <v>-0.13700000000000001</v>
      </c>
      <c r="G43" s="38"/>
    </row>
    <row r="44" spans="1:7" x14ac:dyDescent="0.25">
      <c r="A44" s="23" t="s">
        <v>48</v>
      </c>
      <c r="B44" s="13">
        <v>-20.6</v>
      </c>
      <c r="C44" s="13">
        <v>-0.51300000000000001</v>
      </c>
      <c r="D44" s="37">
        <v>-0.23899999999999999</v>
      </c>
      <c r="E44" s="37"/>
      <c r="F44" s="37">
        <v>-4.54</v>
      </c>
      <c r="G44" s="38"/>
    </row>
    <row r="45" spans="1:7" ht="15.75" thickBot="1" x14ac:dyDescent="0.3">
      <c r="A45" s="7" t="s">
        <v>37</v>
      </c>
      <c r="B45" s="15">
        <v>-1</v>
      </c>
      <c r="C45" s="15">
        <v>-0.17899999999999999</v>
      </c>
      <c r="D45" s="33">
        <v>-1.92E-3</v>
      </c>
      <c r="E45" s="33"/>
      <c r="F45" s="33">
        <v>-0.249</v>
      </c>
      <c r="G45" s="39"/>
    </row>
    <row r="46" spans="1:7" ht="15.75" thickBot="1" x14ac:dyDescent="0.3">
      <c r="A46" s="8" t="s">
        <v>17</v>
      </c>
      <c r="B46" s="16">
        <v>-20.9</v>
      </c>
      <c r="C46" s="16">
        <v>-0.82299999999999995</v>
      </c>
      <c r="D46" s="34">
        <v>-0.25800000000000001</v>
      </c>
      <c r="E46" s="34"/>
      <c r="F46" s="34">
        <v>-4.38</v>
      </c>
      <c r="G46" s="40"/>
    </row>
    <row r="47" spans="1:7" x14ac:dyDescent="0.25">
      <c r="A47" s="4"/>
      <c r="B47" s="4"/>
      <c r="C47" s="4"/>
      <c r="D47" s="4"/>
      <c r="E47" s="4"/>
      <c r="F47" s="4"/>
      <c r="G47" s="4"/>
    </row>
    <row r="48" spans="1:7" ht="15.75" thickBot="1" x14ac:dyDescent="0.3">
      <c r="A48" s="5" t="s">
        <v>12</v>
      </c>
      <c r="B48" s="4"/>
      <c r="C48" s="4"/>
      <c r="D48" s="4"/>
      <c r="E48" s="4"/>
      <c r="F48" s="4"/>
      <c r="G48" s="4"/>
    </row>
    <row r="49" spans="1:7" ht="114.75" customHeight="1" thickBot="1" x14ac:dyDescent="0.3">
      <c r="A49" s="30" t="s">
        <v>41</v>
      </c>
      <c r="B49" s="31"/>
      <c r="C49" s="31"/>
      <c r="D49" s="31"/>
      <c r="E49" s="31"/>
      <c r="F49" s="31"/>
      <c r="G49" s="32"/>
    </row>
    <row r="50" spans="1:7" x14ac:dyDescent="0.25">
      <c r="A50" s="4"/>
      <c r="B50" s="4"/>
      <c r="C50" s="4"/>
      <c r="D50" s="4"/>
      <c r="E50" s="4"/>
      <c r="F50" s="4"/>
      <c r="G50" s="4"/>
    </row>
    <row r="51" spans="1:7" x14ac:dyDescent="0.25">
      <c r="A51" s="4"/>
      <c r="B51" s="4"/>
      <c r="C51" s="4"/>
      <c r="D51" s="4"/>
      <c r="E51" s="4"/>
      <c r="F51" s="4"/>
      <c r="G51" s="4"/>
    </row>
    <row r="52" spans="1:7" x14ac:dyDescent="0.25">
      <c r="A52" s="4"/>
      <c r="B52" s="4"/>
      <c r="C52" s="4"/>
      <c r="D52" s="4"/>
      <c r="E52" s="4"/>
      <c r="F52" s="4"/>
      <c r="G52" s="4"/>
    </row>
    <row r="53" spans="1:7" x14ac:dyDescent="0.25">
      <c r="A53" s="4"/>
      <c r="B53" s="4"/>
      <c r="C53" s="4"/>
      <c r="D53" s="4"/>
      <c r="E53" s="4"/>
      <c r="F53" s="4"/>
      <c r="G53" s="4"/>
    </row>
    <row r="54" spans="1:7" x14ac:dyDescent="0.25">
      <c r="A54" s="4"/>
      <c r="B54" s="4"/>
      <c r="C54" s="4"/>
      <c r="D54" s="4"/>
      <c r="E54" s="4"/>
      <c r="F54" s="4"/>
      <c r="G54" s="4"/>
    </row>
    <row r="55" spans="1:7" x14ac:dyDescent="0.25">
      <c r="A55" s="4"/>
      <c r="B55" s="4"/>
      <c r="C55" s="4"/>
      <c r="D55" s="4"/>
      <c r="E55" s="4"/>
      <c r="F55" s="4"/>
      <c r="G55" s="4"/>
    </row>
    <row r="56" spans="1:7" x14ac:dyDescent="0.25">
      <c r="A56" s="4"/>
      <c r="B56" s="4"/>
      <c r="C56" s="4"/>
      <c r="D56" s="4"/>
      <c r="E56" s="4"/>
      <c r="F56" s="4"/>
      <c r="G56" s="4"/>
    </row>
    <row r="57" spans="1:7" x14ac:dyDescent="0.25">
      <c r="A57" s="4"/>
      <c r="B57" s="4"/>
      <c r="C57" s="4"/>
      <c r="D57" s="4"/>
      <c r="E57" s="4"/>
      <c r="F57" s="4"/>
      <c r="G57" s="4"/>
    </row>
    <row r="58" spans="1:7" x14ac:dyDescent="0.25">
      <c r="A58" s="4"/>
      <c r="B58" s="4"/>
      <c r="C58" s="4"/>
      <c r="D58" s="4"/>
      <c r="E58" s="4"/>
      <c r="F58" s="4"/>
      <c r="G58" s="4"/>
    </row>
    <row r="59" spans="1:7" x14ac:dyDescent="0.25">
      <c r="A59" s="4"/>
      <c r="B59" s="4"/>
      <c r="C59" s="4"/>
      <c r="D59" s="4"/>
      <c r="E59" s="4"/>
      <c r="F59" s="4"/>
      <c r="G59" s="4"/>
    </row>
    <row r="60" spans="1:7" x14ac:dyDescent="0.25">
      <c r="A60" s="4"/>
      <c r="B60" s="4"/>
      <c r="C60" s="4"/>
      <c r="D60" s="4"/>
      <c r="E60" s="4"/>
      <c r="F60" s="4"/>
      <c r="G60" s="4"/>
    </row>
    <row r="61" spans="1:7" x14ac:dyDescent="0.25">
      <c r="A61" s="4"/>
      <c r="B61" s="4"/>
      <c r="C61" s="4"/>
      <c r="D61" s="4"/>
      <c r="E61" s="4"/>
      <c r="F61" s="4"/>
      <c r="G61" s="4"/>
    </row>
    <row r="62" spans="1:7" x14ac:dyDescent="0.25">
      <c r="A62" s="4"/>
      <c r="B62" s="4"/>
      <c r="C62" s="4"/>
      <c r="D62" s="4"/>
      <c r="E62" s="4"/>
      <c r="F62" s="4"/>
      <c r="G62" s="4"/>
    </row>
    <row r="63" spans="1:7" x14ac:dyDescent="0.25">
      <c r="A63" s="4"/>
      <c r="B63" s="4"/>
      <c r="C63" s="4"/>
      <c r="D63" s="4"/>
      <c r="E63" s="4"/>
      <c r="F63" s="4"/>
      <c r="G63" s="4"/>
    </row>
    <row r="64" spans="1:7" x14ac:dyDescent="0.25">
      <c r="A64" s="4"/>
      <c r="B64" s="4"/>
      <c r="C64" s="4"/>
      <c r="D64" s="4"/>
      <c r="E64" s="4"/>
      <c r="F64" s="4"/>
      <c r="G64" s="4"/>
    </row>
    <row r="65" spans="1:7" x14ac:dyDescent="0.25">
      <c r="A65" s="4"/>
      <c r="B65" s="4"/>
      <c r="C65" s="4"/>
      <c r="D65" s="4"/>
      <c r="E65" s="4"/>
      <c r="F65" s="4"/>
      <c r="G65" s="4"/>
    </row>
    <row r="66" spans="1:7" x14ac:dyDescent="0.25">
      <c r="A66" s="4"/>
      <c r="B66" s="4"/>
      <c r="C66" s="4"/>
      <c r="D66" s="4"/>
      <c r="E66" s="4"/>
      <c r="F66" s="4"/>
      <c r="G66" s="4"/>
    </row>
    <row r="67" spans="1:7" x14ac:dyDescent="0.25">
      <c r="A67" s="4"/>
      <c r="B67" s="4"/>
      <c r="C67" s="4"/>
      <c r="D67" s="4"/>
      <c r="E67" s="4"/>
      <c r="F67" s="4"/>
      <c r="G67" s="4"/>
    </row>
    <row r="68" spans="1:7" x14ac:dyDescent="0.25">
      <c r="A68" s="4"/>
      <c r="B68" s="4"/>
      <c r="C68" s="4"/>
      <c r="D68" s="4"/>
      <c r="E68" s="4"/>
      <c r="F68" s="4"/>
      <c r="G68" s="4"/>
    </row>
    <row r="69" spans="1:7" x14ac:dyDescent="0.25">
      <c r="A69" s="4"/>
      <c r="B69" s="4"/>
      <c r="C69" s="4"/>
      <c r="D69" s="4"/>
      <c r="E69" s="4"/>
      <c r="F69" s="4"/>
      <c r="G69" s="4"/>
    </row>
  </sheetData>
  <mergeCells count="45">
    <mergeCell ref="D44:E44"/>
    <mergeCell ref="F44:G44"/>
    <mergeCell ref="D38:E38"/>
    <mergeCell ref="F38:G38"/>
    <mergeCell ref="D39:E39"/>
    <mergeCell ref="F39:G39"/>
    <mergeCell ref="B8:C8"/>
    <mergeCell ref="D33:E33"/>
    <mergeCell ref="F33:G33"/>
    <mergeCell ref="D34:E34"/>
    <mergeCell ref="B3:C3"/>
    <mergeCell ref="B21:E21"/>
    <mergeCell ref="B22:E22"/>
    <mergeCell ref="B27:E27"/>
    <mergeCell ref="D42:E42"/>
    <mergeCell ref="A11:G11"/>
    <mergeCell ref="B16:E16"/>
    <mergeCell ref="B17:E17"/>
    <mergeCell ref="B24:E24"/>
    <mergeCell ref="B18:E18"/>
    <mergeCell ref="B19:E19"/>
    <mergeCell ref="B20:E20"/>
    <mergeCell ref="B23:E23"/>
    <mergeCell ref="B25:E25"/>
    <mergeCell ref="B26:E26"/>
    <mergeCell ref="B28:E28"/>
    <mergeCell ref="F35:G35"/>
    <mergeCell ref="D36:E36"/>
    <mergeCell ref="F36:G36"/>
    <mergeCell ref="A49:G49"/>
    <mergeCell ref="D45:E45"/>
    <mergeCell ref="D46:E46"/>
    <mergeCell ref="F34:G34"/>
    <mergeCell ref="F42:G42"/>
    <mergeCell ref="F45:G45"/>
    <mergeCell ref="F46:G46"/>
    <mergeCell ref="D37:E37"/>
    <mergeCell ref="F37:G37"/>
    <mergeCell ref="D40:E40"/>
    <mergeCell ref="F40:G40"/>
    <mergeCell ref="D41:E41"/>
    <mergeCell ref="F41:G41"/>
    <mergeCell ref="D43:E43"/>
    <mergeCell ref="F43:G43"/>
    <mergeCell ref="D35:E3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WAW_RC_01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2026-06-21T19:58:07Z</dcterms:modified>
</cp:coreProperties>
</file>